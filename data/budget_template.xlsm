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fruggeri\Projects\budget\data\"/>
    </mc:Choice>
  </mc:AlternateContent>
  <xr:revisionPtr revIDLastSave="0" documentId="13_ncr:1_{76382566-979F-44D6-A384-BE5B2C690A09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01" sheetId="19" r:id="rId1"/>
    <sheet name="Exchange rat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19" l="1"/>
  <c r="B25" i="19"/>
  <c r="B24" i="19"/>
  <c r="B23" i="19"/>
  <c r="B22" i="19"/>
  <c r="B35" i="19"/>
  <c r="A35" i="19"/>
  <c r="A26" i="19"/>
  <c r="A25" i="19"/>
  <c r="A24" i="19"/>
  <c r="A22" i="19"/>
  <c r="E7" i="19"/>
  <c r="A108" i="19" a="1"/>
  <c r="A109" i="19" a="1"/>
  <c r="B144" i="19" a="1"/>
  <c r="A105" i="19" a="1"/>
  <c r="A138" i="19" a="1"/>
  <c r="B110" i="19" a="1"/>
  <c r="A151" i="19" a="1"/>
  <c r="A180" i="19" a="1"/>
  <c r="B178" i="19" a="1"/>
  <c r="B77" i="19" a="1"/>
  <c r="A102" i="19" a="1"/>
  <c r="B51" i="19" a="1"/>
  <c r="A74" i="19" a="1"/>
  <c r="B199" i="19" a="1"/>
  <c r="A170" i="19" a="1"/>
  <c r="B190" i="19" a="1"/>
  <c r="A195" i="19" a="1"/>
  <c r="A93" i="19" a="1"/>
  <c r="A100" i="19" a="1"/>
  <c r="A68" i="19" a="1"/>
  <c r="B99" i="19" a="1"/>
  <c r="B187" i="19" a="1"/>
  <c r="B82" i="19" a="1"/>
  <c r="B69" i="19" a="1"/>
  <c r="A88" i="19" a="1"/>
  <c r="A117" i="19" a="1"/>
  <c r="B191" i="19" a="1"/>
  <c r="B89" i="19" a="1"/>
  <c r="B156" i="19" a="1"/>
  <c r="A135" i="19" a="1"/>
  <c r="A81" i="19" a="1"/>
  <c r="B167" i="19" a="1"/>
  <c r="A160" i="19" a="1"/>
  <c r="A133" i="19" a="1"/>
  <c r="A91" i="19" a="1"/>
  <c r="A169" i="19" a="1"/>
  <c r="A44" i="19" a="1"/>
  <c r="B103" i="19" a="1"/>
  <c r="A147" i="19" a="1"/>
  <c r="A156" i="19" a="1"/>
  <c r="B95" i="19" a="1"/>
  <c r="B155" i="19" a="1"/>
  <c r="A144" i="19" a="1"/>
  <c r="B137" i="19" a="1"/>
  <c r="A164" i="19" a="1"/>
  <c r="A167" i="19" a="1"/>
  <c r="A192" i="19" a="1"/>
  <c r="B104" i="19" a="1"/>
  <c r="B62" i="19" a="1"/>
  <c r="B195" i="19" a="1"/>
  <c r="A173" i="19" a="1"/>
  <c r="B194" i="19" a="1"/>
  <c r="A110" i="19" a="1"/>
  <c r="A185" i="19" a="1"/>
  <c r="A67" i="19" a="1"/>
  <c r="A85" i="19" a="1"/>
  <c r="B149" i="19" a="1"/>
  <c r="B78" i="19" a="1"/>
  <c r="A193" i="19" a="1"/>
  <c r="B180" i="19" a="1"/>
  <c r="B128" i="19" a="1"/>
  <c r="B86" i="19" a="1"/>
  <c r="A62" i="19" a="1"/>
  <c r="B176" i="19" a="1"/>
  <c r="B136" i="19" a="1"/>
  <c r="A130" i="19" a="1"/>
  <c r="B53" i="19" a="1"/>
  <c r="B182" i="19" a="1"/>
  <c r="A177" i="19" a="1"/>
  <c r="A198" i="19" a="1"/>
  <c r="A132" i="19" a="1"/>
  <c r="A149" i="19" a="1"/>
  <c r="A115" i="19" a="1"/>
  <c r="A113" i="19" a="1"/>
  <c r="A146" i="19" a="1"/>
  <c r="B118" i="19" a="1"/>
  <c r="A101" i="19" a="1"/>
  <c r="A199" i="19" a="1"/>
  <c r="A54" i="19" a="1"/>
  <c r="B197" i="19" a="1"/>
  <c r="B177" i="19" a="1"/>
  <c r="B75" i="19" a="1"/>
  <c r="A82" i="19" a="1"/>
  <c r="A59" i="19" a="1"/>
  <c r="B165" i="19" a="1"/>
  <c r="A197" i="19" a="1"/>
  <c r="A51" i="19" a="1"/>
  <c r="B58" i="19" a="1"/>
  <c r="A187" i="19" a="1"/>
  <c r="A121" i="19" a="1"/>
  <c r="A78" i="19" a="1"/>
  <c r="A60" i="19" a="1"/>
  <c r="A90" i="19" a="1"/>
  <c r="B188" i="19" a="1"/>
  <c r="A83" i="19" a="1"/>
  <c r="A172" i="19" a="1"/>
  <c r="B91" i="19" a="1"/>
  <c r="A127" i="19" a="1"/>
  <c r="B97" i="19" a="1"/>
  <c r="A56" i="19" a="1"/>
  <c r="A153" i="19" a="1"/>
  <c r="A125" i="19" a="1"/>
  <c r="B146" i="19" a="1"/>
  <c r="B52" i="19" a="1"/>
  <c r="B79" i="19" a="1"/>
  <c r="B189" i="19" a="1"/>
  <c r="A128" i="19" a="1"/>
  <c r="B121" i="19" a="1"/>
  <c r="B84" i="19" a="1"/>
  <c r="B152" i="19" a="1"/>
  <c r="B65" i="19" a="1"/>
  <c r="A141" i="19" a="1"/>
  <c r="A97" i="19" a="1"/>
  <c r="B185" i="19" a="1"/>
  <c r="B101" i="19" a="1"/>
  <c r="B109" i="19" a="1"/>
  <c r="B115" i="19" a="1"/>
  <c r="B154" i="19" a="1"/>
  <c r="A63" i="19" a="1"/>
  <c r="B117" i="19" a="1"/>
  <c r="B147" i="19" a="1"/>
  <c r="B196" i="19" a="1"/>
  <c r="A69" i="19" a="1"/>
  <c r="B127" i="19" a="1"/>
  <c r="A118" i="19" a="1"/>
  <c r="A191" i="19" a="1"/>
  <c r="B162" i="19" a="1"/>
  <c r="B120" i="19" a="1"/>
  <c r="A114" i="19" a="1"/>
  <c r="B179" i="19" a="1"/>
  <c r="B50" i="19" a="1"/>
  <c r="A87" i="19" a="1"/>
  <c r="B126" i="19" a="1"/>
  <c r="A45" i="19" a="1"/>
  <c r="B173" i="19" a="1"/>
  <c r="B183" i="19" a="1"/>
  <c r="B60" i="19" a="1"/>
  <c r="B131" i="19" a="1"/>
  <c r="A161" i="19" a="1"/>
  <c r="A66" i="19" a="1"/>
  <c r="A77" i="19" a="1"/>
  <c r="B198" i="19" a="1"/>
  <c r="A148" i="19" a="1"/>
  <c r="B125" i="19" a="1"/>
  <c r="A131" i="19" a="1"/>
  <c r="B106" i="19" a="1"/>
  <c r="B134" i="19" a="1"/>
  <c r="B168" i="19" a="1"/>
  <c r="A189" i="19" a="1"/>
  <c r="B56" i="19" a="1"/>
  <c r="A112" i="19" a="1"/>
  <c r="A73" i="19" a="1"/>
  <c r="A165" i="19" a="1"/>
  <c r="A166" i="19" a="1"/>
  <c r="B61" i="19" a="1"/>
  <c r="A124" i="19" a="1"/>
  <c r="A75" i="19" a="1"/>
  <c r="A47" i="19" a="1"/>
  <c r="A188" i="19" a="1"/>
  <c r="B93" i="19" a="1"/>
  <c r="A140" i="19" a="1"/>
  <c r="A123" i="19" a="1"/>
  <c r="A174" i="19" a="1"/>
  <c r="B87" i="19" a="1"/>
  <c r="B163" i="19" a="1"/>
  <c r="A136" i="19" a="1"/>
  <c r="B72" i="19" a="1"/>
  <c r="B175" i="19" a="1"/>
  <c r="A179" i="19" a="1"/>
  <c r="B111" i="19" a="1"/>
  <c r="B98" i="19" a="1"/>
  <c r="B172" i="19" a="1"/>
  <c r="A182" i="19" a="1"/>
  <c r="B140" i="19" a="1"/>
  <c r="B166" i="19" a="1"/>
  <c r="A162" i="19" a="1"/>
  <c r="A79" i="19" a="1"/>
  <c r="B133" i="19" a="1"/>
  <c r="A106" i="19" a="1"/>
  <c r="B45" i="19" a="1"/>
  <c r="B47" i="19" a="1"/>
  <c r="A55" i="19" a="1"/>
  <c r="A150" i="19" a="1"/>
  <c r="A186" i="19" a="1"/>
  <c r="A50" i="19" a="1"/>
  <c r="B68" i="19" a="1"/>
  <c r="B143" i="19" a="1"/>
  <c r="A134" i="19" a="1"/>
  <c r="A80" i="19" a="1"/>
  <c r="B74" i="19" a="1"/>
  <c r="B139" i="19" a="1"/>
  <c r="A142" i="19" a="1"/>
  <c r="B184" i="19" a="1"/>
  <c r="A168" i="19" a="1"/>
  <c r="A103" i="19" a="1"/>
  <c r="B116" i="19" a="1"/>
  <c r="B141" i="19" a="1"/>
  <c r="A139" i="19" a="1"/>
  <c r="A129" i="19" a="1"/>
  <c r="B114" i="19" a="1"/>
  <c r="A49" i="19" a="1"/>
  <c r="A158" i="19" a="1"/>
  <c r="A84" i="19" a="1"/>
  <c r="A94" i="19" a="1"/>
  <c r="B160" i="19" a="1"/>
  <c r="A76" i="19" a="1"/>
  <c r="A48" i="19" a="1"/>
  <c r="A98" i="19" a="1"/>
  <c r="B88" i="19" a="1"/>
  <c r="A194" i="19" a="1"/>
  <c r="A72" i="19" a="1"/>
  <c r="A99" i="19" a="1"/>
  <c r="A70" i="19" a="1"/>
  <c r="B164" i="19" a="1"/>
  <c r="B59" i="19" a="1"/>
  <c r="A64" i="19" a="1"/>
  <c r="A119" i="19" a="1"/>
  <c r="A104" i="19" a="1"/>
  <c r="B123" i="19" a="1"/>
  <c r="A145" i="19" a="1"/>
  <c r="A65" i="19" a="1"/>
  <c r="A184" i="19" a="1"/>
  <c r="B83" i="19" a="1"/>
  <c r="A159" i="19" a="1"/>
  <c r="B57" i="19" a="1"/>
  <c r="B63" i="19" a="1"/>
  <c r="B81" i="19" a="1"/>
  <c r="B151" i="19" a="1"/>
  <c r="A116" i="19" a="1"/>
  <c r="B138" i="19" a="1"/>
  <c r="A71" i="19" a="1"/>
  <c r="B71" i="19" a="1"/>
  <c r="B170" i="19" a="1"/>
  <c r="A120" i="19" a="1"/>
  <c r="A178" i="19" a="1"/>
  <c r="B85" i="19" a="1"/>
  <c r="B158" i="19" a="1"/>
  <c r="A143" i="19" a="1"/>
  <c r="A61" i="19" a="1"/>
  <c r="B102" i="19" a="1"/>
  <c r="A157" i="19" a="1"/>
  <c r="B108" i="19" a="1"/>
  <c r="B66" i="19" a="1"/>
  <c r="A190" i="19" a="1"/>
  <c r="A171" i="19" a="1"/>
  <c r="B124" i="19" a="1"/>
  <c r="B54" i="19" a="1"/>
  <c r="B181" i="19" a="1"/>
  <c r="B192" i="19" a="1"/>
  <c r="B119" i="19" a="1"/>
  <c r="A163" i="19" a="1"/>
  <c r="A175" i="19" a="1"/>
  <c r="A154" i="19" a="1"/>
  <c r="B112" i="19" a="1"/>
  <c r="B153" i="19" a="1"/>
  <c r="A181" i="19" a="1"/>
  <c r="A95" i="19" a="1"/>
  <c r="B135" i="19" a="1"/>
  <c r="A126" i="19" a="1"/>
  <c r="B64" i="19" a="1"/>
  <c r="A46" i="19" a="1"/>
  <c r="A107" i="19" a="1"/>
  <c r="B48" i="19" a="1"/>
  <c r="A58" i="19" a="1"/>
  <c r="A53" i="19" a="1"/>
  <c r="B150" i="19" a="1"/>
  <c r="B161" i="19" a="1"/>
  <c r="A86" i="19" a="1"/>
  <c r="B90" i="19" a="1"/>
  <c r="A111" i="19" a="1"/>
  <c r="B132" i="19" a="1"/>
  <c r="B142" i="19" a="1"/>
  <c r="B107" i="19" a="1"/>
  <c r="A137" i="19" a="1"/>
  <c r="B122" i="19" a="1"/>
  <c r="A57" i="19" a="1"/>
  <c r="A183" i="19" a="1"/>
  <c r="B49" i="19" a="1"/>
  <c r="B67" i="19" a="1"/>
  <c r="A176" i="19" a="1"/>
  <c r="A92" i="19" a="1"/>
  <c r="B193" i="19" a="1"/>
  <c r="B55" i="19" a="1"/>
  <c r="A52" i="19" a="1"/>
  <c r="A152" i="19" a="1"/>
  <c r="A96" i="19" a="1"/>
  <c r="B80" i="19" a="1"/>
  <c r="B148" i="19" a="1"/>
  <c r="B130" i="19" a="1"/>
  <c r="B73" i="19" a="1"/>
  <c r="B100" i="19" a="1"/>
  <c r="B169" i="19" a="1"/>
  <c r="B105" i="19" a="1"/>
  <c r="B186" i="19" a="1"/>
  <c r="B113" i="19" a="1"/>
  <c r="A196" i="19" a="1"/>
  <c r="A89" i="19" a="1"/>
  <c r="A155" i="19" a="1"/>
  <c r="B129" i="19" a="1"/>
  <c r="B46" i="19" a="1"/>
  <c r="B96" i="19" a="1"/>
  <c r="B44" i="19" a="1"/>
  <c r="B145" i="19" a="1"/>
  <c r="B157" i="19" a="1"/>
  <c r="B70" i="19" a="1"/>
  <c r="B171" i="19" a="1"/>
  <c r="B159" i="19" a="1"/>
  <c r="B174" i="19" a="1"/>
  <c r="A122" i="19" a="1"/>
  <c r="B92" i="19" a="1"/>
  <c r="B94" i="19" a="1"/>
  <c r="B76" i="19" a="1"/>
  <c r="B198" i="19" l="1"/>
  <c r="A198" i="19"/>
  <c r="B134" i="19"/>
  <c r="B118" i="19"/>
  <c r="B110" i="19"/>
  <c r="A142" i="19"/>
  <c r="A134" i="19"/>
  <c r="A126" i="19"/>
  <c r="A118" i="19"/>
  <c r="B147" i="19"/>
  <c r="B115" i="19"/>
  <c r="C115" i="19" s="1"/>
  <c r="A147" i="19"/>
  <c r="A123" i="19"/>
  <c r="B146" i="19"/>
  <c r="C146" i="19" s="1"/>
  <c r="B138" i="19"/>
  <c r="C138" i="19" s="1"/>
  <c r="B130" i="19"/>
  <c r="C130" i="19" s="1"/>
  <c r="B122" i="19"/>
  <c r="B114" i="19"/>
  <c r="B106" i="19"/>
  <c r="A146" i="19"/>
  <c r="A138" i="19"/>
  <c r="A130" i="19"/>
  <c r="A122" i="19"/>
  <c r="A114" i="19"/>
  <c r="A106" i="19"/>
  <c r="B145" i="19"/>
  <c r="B137" i="19"/>
  <c r="B129" i="19"/>
  <c r="B121" i="19"/>
  <c r="C121" i="19" s="1"/>
  <c r="B113" i="19"/>
  <c r="C113" i="19" s="1"/>
  <c r="B105" i="19"/>
  <c r="C105" i="19" s="1"/>
  <c r="A145" i="19"/>
  <c r="A137" i="19"/>
  <c r="A129" i="19"/>
  <c r="A121" i="19"/>
  <c r="A113" i="19"/>
  <c r="A105" i="19"/>
  <c r="B150" i="19"/>
  <c r="B126" i="19"/>
  <c r="A150" i="19"/>
  <c r="A110" i="19"/>
  <c r="B140" i="19"/>
  <c r="B124" i="19"/>
  <c r="B108" i="19"/>
  <c r="C108" i="19" s="1"/>
  <c r="A140" i="19"/>
  <c r="A124" i="19"/>
  <c r="A116" i="19"/>
  <c r="B123" i="19"/>
  <c r="C123" i="19" s="1"/>
  <c r="B107" i="19"/>
  <c r="A139" i="19"/>
  <c r="A131" i="19"/>
  <c r="A115" i="19"/>
  <c r="B144" i="19"/>
  <c r="B136" i="19"/>
  <c r="B128" i="19"/>
  <c r="B120" i="19"/>
  <c r="B112" i="19"/>
  <c r="B104" i="19"/>
  <c r="A144" i="19"/>
  <c r="A136" i="19"/>
  <c r="A128" i="19"/>
  <c r="A120" i="19"/>
  <c r="A112" i="19"/>
  <c r="A104" i="19"/>
  <c r="B142" i="19"/>
  <c r="B141" i="19"/>
  <c r="B125" i="19"/>
  <c r="A149" i="19"/>
  <c r="A109" i="19"/>
  <c r="B131" i="19"/>
  <c r="A107" i="19"/>
  <c r="B149" i="19"/>
  <c r="C149" i="19" s="1"/>
  <c r="B133" i="19"/>
  <c r="B117" i="19"/>
  <c r="B109" i="19"/>
  <c r="C109" i="19" s="1"/>
  <c r="A141" i="19"/>
  <c r="A133" i="19"/>
  <c r="A125" i="19"/>
  <c r="A117" i="19"/>
  <c r="B148" i="19"/>
  <c r="C148" i="19" s="1"/>
  <c r="B132" i="19"/>
  <c r="B116" i="19"/>
  <c r="A148" i="19"/>
  <c r="A132" i="19"/>
  <c r="A108" i="19"/>
  <c r="B139" i="19"/>
  <c r="B143" i="19"/>
  <c r="B135" i="19"/>
  <c r="B127" i="19"/>
  <c r="B119" i="19"/>
  <c r="B111" i="19"/>
  <c r="B103" i="19"/>
  <c r="A143" i="19"/>
  <c r="A135" i="19"/>
  <c r="A127" i="19"/>
  <c r="A119" i="19"/>
  <c r="A111" i="19"/>
  <c r="A103" i="19"/>
  <c r="B93" i="19"/>
  <c r="B61" i="19"/>
  <c r="A88" i="19"/>
  <c r="A64" i="19"/>
  <c r="B76" i="19"/>
  <c r="B60" i="19"/>
  <c r="A87" i="19"/>
  <c r="A55" i="19"/>
  <c r="B91" i="19"/>
  <c r="B59" i="19"/>
  <c r="C59" i="19" s="1"/>
  <c r="A70" i="19"/>
  <c r="B82" i="19"/>
  <c r="B58" i="19"/>
  <c r="C58" i="19" s="1"/>
  <c r="A93" i="19"/>
  <c r="A77" i="19"/>
  <c r="A53" i="19"/>
  <c r="B65" i="19"/>
  <c r="B80" i="19"/>
  <c r="A99" i="19"/>
  <c r="A83" i="19"/>
  <c r="A51" i="19"/>
  <c r="B69" i="19"/>
  <c r="C69" i="19" s="1"/>
  <c r="A96" i="19"/>
  <c r="A72" i="19"/>
  <c r="B92" i="19"/>
  <c r="B68" i="19"/>
  <c r="C68" i="19" s="1"/>
  <c r="A95" i="19"/>
  <c r="A79" i="19"/>
  <c r="A63" i="19"/>
  <c r="B90" i="19"/>
  <c r="B74" i="19"/>
  <c r="B50" i="19"/>
  <c r="A85" i="19"/>
  <c r="A69" i="19"/>
  <c r="B81" i="19"/>
  <c r="A52" i="19"/>
  <c r="B88" i="19"/>
  <c r="C88" i="19" s="1"/>
  <c r="B56" i="19"/>
  <c r="A59" i="19"/>
  <c r="B95" i="19"/>
  <c r="B87" i="19"/>
  <c r="C87" i="19" s="1"/>
  <c r="B79" i="19"/>
  <c r="B71" i="19"/>
  <c r="C71" i="19" s="1"/>
  <c r="B63" i="19"/>
  <c r="B55" i="19"/>
  <c r="C55" i="19" s="1"/>
  <c r="A98" i="19"/>
  <c r="A90" i="19"/>
  <c r="A82" i="19"/>
  <c r="A74" i="19"/>
  <c r="A66" i="19"/>
  <c r="A58" i="19"/>
  <c r="A50" i="19"/>
  <c r="B85" i="19"/>
  <c r="C85" i="19" s="1"/>
  <c r="A56" i="19"/>
  <c r="B99" i="19"/>
  <c r="C99" i="19" s="1"/>
  <c r="B75" i="19"/>
  <c r="B51" i="19"/>
  <c r="C51" i="19" s="1"/>
  <c r="A86" i="19"/>
  <c r="A62" i="19"/>
  <c r="B89" i="19"/>
  <c r="C89" i="19" s="1"/>
  <c r="B57" i="19"/>
  <c r="C57" i="19" s="1"/>
  <c r="A92" i="19"/>
  <c r="A76" i="19"/>
  <c r="A60" i="19"/>
  <c r="B64" i="19"/>
  <c r="A67" i="19"/>
  <c r="B77" i="19"/>
  <c r="B53" i="19"/>
  <c r="A80" i="19"/>
  <c r="B84" i="19"/>
  <c r="C84" i="19" s="1"/>
  <c r="B52" i="19"/>
  <c r="C52" i="19" s="1"/>
  <c r="A71" i="19"/>
  <c r="B83" i="19"/>
  <c r="C83" i="19" s="1"/>
  <c r="B67" i="19"/>
  <c r="C67" i="19" s="1"/>
  <c r="A94" i="19"/>
  <c r="A78" i="19"/>
  <c r="A54" i="19"/>
  <c r="B98" i="19"/>
  <c r="C98" i="19" s="1"/>
  <c r="B66" i="19"/>
  <c r="A61" i="19"/>
  <c r="B97" i="19"/>
  <c r="B73" i="19"/>
  <c r="B49" i="19"/>
  <c r="A84" i="19"/>
  <c r="A68" i="19"/>
  <c r="B96" i="19"/>
  <c r="B72" i="19"/>
  <c r="A91" i="19"/>
  <c r="A75" i="19"/>
  <c r="B94" i="19"/>
  <c r="B86" i="19"/>
  <c r="C86" i="19" s="1"/>
  <c r="B78" i="19"/>
  <c r="B70" i="19"/>
  <c r="C70" i="19" s="1"/>
  <c r="B62" i="19"/>
  <c r="C62" i="19" s="1"/>
  <c r="B54" i="19"/>
  <c r="A97" i="19"/>
  <c r="A89" i="19"/>
  <c r="A81" i="19"/>
  <c r="A73" i="19"/>
  <c r="A65" i="19"/>
  <c r="A57" i="19"/>
  <c r="A49" i="19"/>
  <c r="B197" i="19"/>
  <c r="A197" i="19"/>
  <c r="B158" i="19"/>
  <c r="B164" i="19"/>
  <c r="A164" i="19"/>
  <c r="A155" i="19"/>
  <c r="B169" i="19"/>
  <c r="B161" i="19"/>
  <c r="B153" i="19"/>
  <c r="B46" i="19"/>
  <c r="A169" i="19"/>
  <c r="A161" i="19"/>
  <c r="A153" i="19"/>
  <c r="A46" i="19"/>
  <c r="B174" i="19"/>
  <c r="A174" i="19"/>
  <c r="A158" i="19"/>
  <c r="B101" i="19"/>
  <c r="C101" i="19" s="1"/>
  <c r="A157" i="19"/>
  <c r="B100" i="19"/>
  <c r="A100" i="19"/>
  <c r="A171" i="19"/>
  <c r="A48" i="19"/>
  <c r="A162" i="19"/>
  <c r="B165" i="19"/>
  <c r="B171" i="19"/>
  <c r="B155" i="19"/>
  <c r="B48" i="19"/>
  <c r="A163" i="19"/>
  <c r="B162" i="19"/>
  <c r="B47" i="19"/>
  <c r="A47" i="19"/>
  <c r="B168" i="19"/>
  <c r="B160" i="19"/>
  <c r="B152" i="19"/>
  <c r="B45" i="19"/>
  <c r="A168" i="19"/>
  <c r="A160" i="19"/>
  <c r="A152" i="19"/>
  <c r="A45" i="19"/>
  <c r="B166" i="19"/>
  <c r="B102" i="19"/>
  <c r="A166" i="19"/>
  <c r="A102" i="19"/>
  <c r="B173" i="19"/>
  <c r="B157" i="19"/>
  <c r="A173" i="19"/>
  <c r="A165" i="19"/>
  <c r="A101" i="19"/>
  <c r="B172" i="19"/>
  <c r="B156" i="19"/>
  <c r="A172" i="19"/>
  <c r="A156" i="19"/>
  <c r="B163" i="19"/>
  <c r="B170" i="19"/>
  <c r="B154" i="19"/>
  <c r="A170" i="19"/>
  <c r="A154" i="19"/>
  <c r="B167" i="19"/>
  <c r="B159" i="19"/>
  <c r="B151" i="19"/>
  <c r="B44" i="19"/>
  <c r="A167" i="19"/>
  <c r="A159" i="19"/>
  <c r="A151" i="19"/>
  <c r="A44" i="19"/>
  <c r="A190" i="19"/>
  <c r="B187" i="19"/>
  <c r="A187" i="19"/>
  <c r="A179" i="19"/>
  <c r="B186" i="19"/>
  <c r="B178" i="19"/>
  <c r="A186" i="19"/>
  <c r="A178" i="19"/>
  <c r="B185" i="19"/>
  <c r="B177" i="19"/>
  <c r="A185" i="19"/>
  <c r="A177" i="19"/>
  <c r="B182" i="19"/>
  <c r="B181" i="19"/>
  <c r="A184" i="19"/>
  <c r="A176" i="19"/>
  <c r="A189" i="19"/>
  <c r="B179" i="19"/>
  <c r="B190" i="19"/>
  <c r="A182" i="19"/>
  <c r="B189" i="19"/>
  <c r="C189" i="19" s="1"/>
  <c r="A181" i="19"/>
  <c r="B188" i="19"/>
  <c r="B180" i="19"/>
  <c r="A188" i="19"/>
  <c r="A180" i="19"/>
  <c r="B184" i="19"/>
  <c r="B176" i="19"/>
  <c r="B183" i="19"/>
  <c r="B175" i="19"/>
  <c r="A183" i="19"/>
  <c r="A175" i="19"/>
  <c r="B195" i="19"/>
  <c r="B194" i="19"/>
  <c r="B193" i="19"/>
  <c r="A193" i="19"/>
  <c r="A194" i="19"/>
  <c r="B192" i="19"/>
  <c r="A192" i="19"/>
  <c r="A199" i="19"/>
  <c r="A196" i="19"/>
  <c r="A195" i="19"/>
  <c r="B199" i="19"/>
  <c r="B196" i="19"/>
  <c r="C196" i="19" s="1"/>
  <c r="B191" i="19"/>
  <c r="A191" i="19"/>
  <c r="A23" i="19"/>
  <c r="C23" i="19" s="1"/>
  <c r="B38" i="19"/>
  <c r="C25" i="19"/>
  <c r="C26" i="19"/>
  <c r="C24" i="19"/>
  <c r="C22" i="19"/>
  <c r="C35" i="19"/>
  <c r="C78" i="19" l="1"/>
  <c r="C91" i="19"/>
  <c r="C131" i="19"/>
  <c r="C81" i="19"/>
  <c r="C66" i="19"/>
  <c r="C74" i="19"/>
  <c r="C198" i="19"/>
  <c r="C132" i="19"/>
  <c r="C142" i="19"/>
  <c r="C56" i="19"/>
  <c r="C107" i="19"/>
  <c r="C122" i="19"/>
  <c r="C171" i="19"/>
  <c r="C50" i="19"/>
  <c r="C116" i="19"/>
  <c r="C141" i="19"/>
  <c r="C114" i="19"/>
  <c r="C54" i="19"/>
  <c r="C103" i="19"/>
  <c r="C72" i="19"/>
  <c r="C129" i="19"/>
  <c r="C137" i="19"/>
  <c r="C119" i="19"/>
  <c r="C145" i="19"/>
  <c r="C133" i="19"/>
  <c r="C143" i="19"/>
  <c r="C136" i="19"/>
  <c r="C150" i="19"/>
  <c r="C112" i="19"/>
  <c r="C120" i="19"/>
  <c r="C126" i="19"/>
  <c r="C139" i="19"/>
  <c r="C144" i="19"/>
  <c r="C110" i="19"/>
  <c r="C111" i="19"/>
  <c r="C124" i="19"/>
  <c r="C117" i="19"/>
  <c r="C140" i="19"/>
  <c r="C135" i="19"/>
  <c r="C118" i="19"/>
  <c r="C104" i="19"/>
  <c r="C147" i="19"/>
  <c r="C127" i="19"/>
  <c r="C128" i="19"/>
  <c r="C125" i="19"/>
  <c r="C106" i="19"/>
  <c r="C134" i="19"/>
  <c r="C82" i="19"/>
  <c r="C79" i="19"/>
  <c r="C95" i="19"/>
  <c r="C94" i="19"/>
  <c r="C92" i="19"/>
  <c r="C172" i="19"/>
  <c r="C60" i="19"/>
  <c r="C157" i="19"/>
  <c r="C162" i="19"/>
  <c r="C53" i="19"/>
  <c r="C90" i="19"/>
  <c r="C63" i="19"/>
  <c r="C75" i="19"/>
  <c r="C182" i="19"/>
  <c r="C76" i="19"/>
  <c r="C49" i="19"/>
  <c r="C77" i="19"/>
  <c r="C199" i="19"/>
  <c r="C48" i="19"/>
  <c r="C73" i="19"/>
  <c r="C80" i="19"/>
  <c r="C61" i="19"/>
  <c r="C160" i="19"/>
  <c r="C181" i="19"/>
  <c r="C96" i="19"/>
  <c r="C155" i="19"/>
  <c r="C97" i="19"/>
  <c r="C64" i="19"/>
  <c r="C65" i="19"/>
  <c r="C93" i="19"/>
  <c r="C168" i="19"/>
  <c r="C197" i="19"/>
  <c r="C187" i="19"/>
  <c r="C100" i="19"/>
  <c r="C156" i="19"/>
  <c r="C151" i="19"/>
  <c r="C44" i="19"/>
  <c r="C102" i="19"/>
  <c r="C165" i="19"/>
  <c r="C161" i="19"/>
  <c r="C170" i="19"/>
  <c r="C163" i="19"/>
  <c r="C47" i="19"/>
  <c r="C173" i="19"/>
  <c r="C159" i="19"/>
  <c r="C167" i="19"/>
  <c r="C153" i="19"/>
  <c r="C169" i="19"/>
  <c r="C190" i="19"/>
  <c r="C174" i="19"/>
  <c r="C46" i="19"/>
  <c r="C166" i="19"/>
  <c r="C154" i="19"/>
  <c r="C45" i="19"/>
  <c r="C164" i="19"/>
  <c r="C152" i="19"/>
  <c r="C158" i="19"/>
  <c r="C175" i="19"/>
  <c r="C184" i="19"/>
  <c r="C177" i="19"/>
  <c r="C180" i="19"/>
  <c r="C188" i="19"/>
  <c r="C178" i="19"/>
  <c r="C186" i="19"/>
  <c r="C179" i="19"/>
  <c r="C183" i="19"/>
  <c r="C176" i="19"/>
  <c r="C185" i="19"/>
  <c r="C191" i="19"/>
  <c r="C192" i="19"/>
  <c r="C193" i="19"/>
  <c r="C194" i="19"/>
  <c r="C195" i="19"/>
  <c r="A34" i="19"/>
  <c r="B34" i="19"/>
  <c r="A33" i="19"/>
  <c r="B33" i="19"/>
  <c r="A38" i="19"/>
  <c r="C38" i="19" s="1"/>
  <c r="B37" i="19"/>
  <c r="A37" i="19"/>
  <c r="B36" i="19"/>
  <c r="A36" i="19"/>
  <c r="A6" i="19"/>
  <c r="A15" i="19" s="1"/>
  <c r="A5" i="19"/>
  <c r="A14" i="19" s="1"/>
  <c r="A4" i="19"/>
  <c r="A13" i="19" s="1"/>
  <c r="A32" i="19"/>
  <c r="B4" i="19"/>
  <c r="B6" i="19"/>
  <c r="B5" i="19"/>
  <c r="B32" i="19"/>
  <c r="A16" i="19" l="1"/>
  <c r="C34" i="19"/>
  <c r="C33" i="19"/>
  <c r="C37" i="19"/>
  <c r="A7" i="19"/>
  <c r="C32" i="19"/>
  <c r="C36" i="19"/>
  <c r="B13" i="19"/>
  <c r="C4" i="19"/>
  <c r="B7" i="19"/>
  <c r="B14" i="19"/>
  <c r="C14" i="19" s="1"/>
  <c r="C5" i="19"/>
  <c r="B15" i="19"/>
  <c r="C15" i="19" s="1"/>
  <c r="C6" i="19"/>
  <c r="C7" i="19" l="1"/>
  <c r="B16" i="19"/>
  <c r="C13" i="19"/>
  <c r="C16" i="19" s="1"/>
  <c r="B2" i="3" l="1" a="1"/>
  <c r="B2" i="3" s="1"/>
  <c r="C2" i="3" a="1"/>
  <c r="C2" i="3" s="1"/>
  <c r="D2" i="3" a="1"/>
  <c r="D2" i="3" s="1"/>
  <c r="B3" i="3" a="1"/>
  <c r="B3" i="3" s="1"/>
  <c r="C3" i="3" a="1"/>
  <c r="C3" i="3" s="1"/>
  <c r="D3" i="3" a="1"/>
  <c r="D3" i="3" s="1"/>
  <c r="B4" i="3" a="1"/>
  <c r="B4" i="3" s="1"/>
  <c r="C4" i="3" a="1"/>
  <c r="C4" i="3" s="1"/>
  <c r="D4" i="3" a="1"/>
  <c r="D4" i="3" s="1"/>
  <c r="B8" i="3" a="1"/>
  <c r="B8" i="3" s="1"/>
  <c r="C8" i="3" a="1"/>
  <c r="C8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<sst xmlns="http://schemas.openxmlformats.org/spreadsheetml/2006/main" count="68" uniqueCount="37">
  <si>
    <t>Type</t>
  </si>
  <si>
    <t>Category</t>
  </si>
  <si>
    <t>Description</t>
  </si>
  <si>
    <t>Currency</t>
  </si>
  <si>
    <t>Projected</t>
  </si>
  <si>
    <t>Actual</t>
  </si>
  <si>
    <t>Difference</t>
  </si>
  <si>
    <t>Sub-category</t>
  </si>
  <si>
    <t>Budget</t>
  </si>
  <si>
    <t>Slice</t>
  </si>
  <si>
    <t>EUR</t>
  </si>
  <si>
    <t>All</t>
  </si>
  <si>
    <t>SEK</t>
  </si>
  <si>
    <t>ERIC-B</t>
  </si>
  <si>
    <t>BTC</t>
  </si>
  <si>
    <t>ETH</t>
  </si>
  <si>
    <t>Price</t>
  </si>
  <si>
    <t>Share</t>
  </si>
  <si>
    <t>From currency</t>
  </si>
  <si>
    <t>Conversion</t>
  </si>
  <si>
    <t>Investment</t>
  </si>
  <si>
    <t>Income</t>
  </si>
  <si>
    <t>Need</t>
  </si>
  <si>
    <t>Saving</t>
  </si>
  <si>
    <t>Want</t>
  </si>
  <si>
    <t>Expense</t>
  </si>
  <si>
    <t>Transactions</t>
  </si>
  <si>
    <t>Difference (EUR)</t>
  </si>
  <si>
    <t>Projected Currency</t>
  </si>
  <si>
    <t>Projected Amount</t>
  </si>
  <si>
    <t>Actual Currency</t>
  </si>
  <si>
    <t>Actual Amount</t>
  </si>
  <si>
    <t>Projected Amount (EUR)</t>
  </si>
  <si>
    <t>Actual Amount (EUR)</t>
  </si>
  <si>
    <t>Budget Balance</t>
  </si>
  <si>
    <t>Currency Balance</t>
  </si>
  <si>
    <t>Transactions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</si>
</sst>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_-;\-* #,##0.0_-;_-* &quot;-&quot;?_-;_-@_-"/>
    <numFmt numFmtId="166" formatCode="_-[$€-2]\ * #,##0.00_-;\-[$€-2]\ * #,##0.00_-;_-[$€-2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thick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3" applyNumberFormat="0" applyFill="0" applyAlignment="0" applyProtection="0"/>
  </cellStyleXfs>
  <cellXfs count="12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43" fontId="0" fillId="0" borderId="0" xfId="1" applyNumberFormat="1" applyFont="1"/>
    <xf numFmtId="9" fontId="0" fillId="0" borderId="0" xfId="0" applyNumberFormat="1"/>
    <xf numFmtId="43" fontId="0" fillId="0" borderId="0" xfId="0" applyNumberFormat="1"/>
    <xf numFmtId="164" fontId="0" fillId="0" borderId="0" xfId="0" applyNumberFormat="1"/>
    <xf numFmtId="0" fontId="0" fillId="0" borderId="0" xfId="1" applyNumberFormat="1" applyFont="1"/>
    <xf numFmtId="165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0" fontId="3" fillId="0" borderId="3" xfId="2" applyAlignment="1">
      <alignment horizontal="left"/>
    </xf>
  </cellXfs>
  <cellStyles count="3">
    <cellStyle name="Heading 1" xfId="2" builtinId="16" customBuiltin="1"/>
    <cellStyle name="Normal" xfId="0" builtinId="0"/>
    <cellStyle name="Percent" xfId="1" builtinId="5"/>
  </cellStyles>
  <dxfs count="51"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  <dxf>
      <numFmt numFmtId="164" formatCode="_-* #,##0.000000_-;\-* #,##0.0000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0" formatCode="General"/>
    </dxf>
    <dxf>
      <numFmt numFmtId="0" formatCode="General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3" formatCode="0%"/>
    </dxf>
    <dxf>
      <numFmt numFmtId="13" formatCode="0%"/>
    </dxf>
    <dxf>
      <numFmt numFmtId="0" formatCode="General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35" formatCode="_-* #,##0.00_-;\-* #,##0.00_-;_-* &quot;-&quot;??_-;_-@_-"/>
    </dxf>
    <dxf>
      <numFmt numFmtId="0" formatCode="General"/>
    </dxf>
    <dxf>
      <numFmt numFmtId="35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9">
  <rv s="0">
    <v>en-US</v>
    <v>avupar</v>
    <v>268435456</v>
    <v>1</v>
    <v>Powered by Refinitiv</v>
    <v>0</v>
    <v>SEK/EUR</v>
    <v>2</v>
    <v>3</v>
    <v>Finance</v>
    <v>4</v>
    <v>9.6699999999999994E-2</v>
    <v>8.6999999999999994E-2</v>
    <v>-2.0000000000000001E-4</v>
    <v>-2.2729999999999998E-3</v>
    <v>EUR</v>
    <v>SEK</v>
    <v>8.7900000000000006E-2</v>
    <v>Currency Pair</v>
    <v>45064.936249999999</v>
    <v>8.7800000000000003E-2</v>
    <v>Swedish Krona/Euro FX Cross Rate</v>
    <v>8.7800000000000003E-2</v>
    <v>8.7999999999999995E-2</v>
    <v>8.7800000000000003E-2</v>
    <v>SEKEUR</v>
    <v>SEK/EUR</v>
  </rv>
  <rv s="1">
    <v>0</v>
  </rv>
  <rv s="0">
    <v>en-US</v>
    <v>bo8mpr</v>
    <v>268435456</v>
    <v>1</v>
    <v>Powered by Refinitiv</v>
    <v>0</v>
    <v>BTC/EUR</v>
    <v>2</v>
    <v>3</v>
    <v>Finance</v>
    <v>4</v>
    <v>30175.576700000001</v>
    <v>15116.6878</v>
    <v>133.23179999999999</v>
    <v>5.3709999999999999E-3</v>
    <v>EUR</v>
    <v>BTC</v>
    <v>25104.4277</v>
    <v>Currency Pair</v>
    <v>45064.936249999999</v>
    <v>24813.370500000001</v>
    <v>Bitcoin/Euro FX Cross Rate</v>
    <v>24807.8351</v>
    <v>24805.532299999999</v>
    <v>24938.7641</v>
    <v>BTCEUR</v>
    <v>BTC/EUR</v>
  </rv>
  <rv s="1">
    <v>2</v>
  </rv>
  <rv s="0">
    <v>en-US</v>
    <v>borpmw</v>
    <v>268435456</v>
    <v>1</v>
    <v>Powered by Refinitiv</v>
    <v>0</v>
    <v>ETH/EUR</v>
    <v>2</v>
    <v>3</v>
    <v>Finance</v>
    <v>4</v>
    <v>2078.37</v>
    <v>956.17899999999997</v>
    <v>10.688000000000001</v>
    <v>6.4090000000000006E-3</v>
    <v>EUR</v>
    <v>ETH</v>
    <v>1690.077</v>
    <v>Currency Pair</v>
    <v>45064.936261574076</v>
    <v>1668.338</v>
    <v>Ethereum/Euro FX Cross Rate</v>
    <v>1667.6130000000001</v>
    <v>1667.768</v>
    <v>1678.4559999999999</v>
    <v>ETHEUR</v>
    <v>ETH/EUR</v>
  </rv>
  <rv s="1">
    <v>4</v>
  </rv>
  <rv s="2">
    <v>https://www.bing.com/financeapi/forcetrigger?t=amwif2&amp;q=XSTO%3aERIC+B&amp;form=skydnc</v>
    <v>Learn more on Bing</v>
  </rv>
  <rv s="3">
    <v>en-US</v>
    <v>amwif2</v>
    <v>268435456</v>
    <v>1</v>
    <v>Powered by Refinitiv</v>
    <v>5</v>
    <v>Telefonaktiebolaget LM Ericsson (XSTO:ERIC B)</v>
    <v>6</v>
    <v>7</v>
    <v>Finance</v>
    <v>8</v>
    <v>121.8</v>
    <v>53.36</v>
    <v>0.26690000000000003</v>
    <v>-0.19</v>
    <v>-3.4949999999999998E-3</v>
    <v>SEK</v>
    <v>Telefonaktiebolaget LM Ericsson (Ericsson) provides infrastructure, services and software to the telecommunication industry and other sectors. The Company's segments include Networks, IT &amp; Cloud and Media. The Networks segment consists of two business units: Network Products and Network Services. The overall focus is on evolving and managing access networks, including the development of hardware and software for radio access and transport networks. The IT &amp; Cloud business includes two business units: IT &amp; Cloud Products and IT &amp; Cloud Services. The focus in IT &amp; Cloud is to help telecom operators and selected enterprises through the digital transformations ahead. It develops and delivers software-based solutions for television and media and combines a product portfolio that spans the television value chain, with systems integration and managed services. The portfolio includes compression, content publishing through set-top box or pure over-the-top, content delivery and analytics.</v>
    <v>104931</v>
    <v>NASDAQ Stockholm</v>
    <v>XSTO</v>
    <v>XSTO</v>
    <v>Torshamnsgatan 21, STOCKHOLM, STOCKHOLM, 164 40 SE</v>
    <v>54.57</v>
    <v>Communications &amp; Networking</v>
    <v>Stock</v>
    <v>45063.479166666664</v>
    <v>6</v>
    <v>54.1</v>
    <v>182163200000</v>
    <v>Telefonaktiebolaget LM Ericsson</v>
    <v>Telefonaktiebolaget LM Ericsson</v>
    <v>54.32</v>
    <v>10.45</v>
    <v>54.36</v>
    <v>54.17</v>
    <v>3334152000</v>
    <v>ERIC B</v>
    <v>Telefonaktiebolaget LM Ericsson (XSTO:ERIC B)</v>
    <v>2804356</v>
    <v>7344340</v>
    <v>1918</v>
  </rv>
  <rv s="1">
    <v>7</v>
  </rv>
</rvData>
</file>

<file path=xl/richData/rdrichvaluestructure.xml><?xml version="1.0" encoding="utf-8"?>
<rvStructures xmlns="http://schemas.microsoft.com/office/spreadsheetml/2017/richdata" count="4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(%)"/>
    <k n="Currency" t="s"/>
    <k n="Description" t="s"/>
    <k n="Employees"/>
    <k n="Exchange" t="s"/>
    <k n="Exchange abbreviation" t="s"/>
    <k n="ExchangeID" t="s"/>
    <k n="Headquarters" t="s"/>
    <k n="High"/>
    <k n="Industry" t="s"/>
    <k n="Instrument type" t="s"/>
    <k n="Last trade time"/>
    <k n="LearnMoreOnLink" t="r"/>
    <k n="Low"/>
    <k n="Market cap"/>
    <k n="Name" t="s"/>
    <k n="Official name" t="s"/>
    <k n="Open"/>
    <k n="P/E"/>
    <k n="Previous close"/>
    <k n="Price"/>
    <k n="Shares outstanding"/>
    <k n="Ticker symbol" t="s"/>
    <k n="UniqueName" t="s"/>
    <k n="Volume"/>
    <k n="Volume average"/>
    <k n="Year incorporated"/>
  </s>
</rvStructures>
</file>

<file path=xl/richData/rdsupportingpropertybag.xml><?xml version="1.0" encoding="utf-8"?>
<supportingPropertyBags xmlns="http://schemas.microsoft.com/office/spreadsheetml/2017/richdata2">
  <spbArrays count="2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  <a count="42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Exchange</v>
      <v t="s">Official name</v>
      <v t="s">Last trade time</v>
      <v t="s">Ticker symbol</v>
      <v t="s">Exchange abbreviation</v>
      <v t="s">Change</v>
      <v t="s">Change (%)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P/E</v>
      <v t="s">Shares outstanding</v>
      <v t="s">Description</v>
      <v t="s">Employees</v>
      <v t="s">Headquarters</v>
      <v t="s">Industry</v>
      <v t="s">Instrument type</v>
      <v t="s">Year incorporated</v>
      <v t="s">_Flags</v>
      <v t="s">UniqueName</v>
      <v t="s">_DisplayString</v>
      <v t="s">LearnMoreOnLink</v>
      <v t="s">ExchangeID</v>
      <v t="s">%ProviderInfo</v>
    </a>
  </spbArrays>
  <spbData count="9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  <spb s="5">
      <v>1</v>
      <v>Name</v>
      <v>LearnMoreOnLink</v>
    </spb>
    <spb s="6">
      <v>1</v>
      <v>1</v>
      <v>1</v>
      <v>1</v>
    </spb>
    <spb s="7">
      <v>6</v>
      <v>7</v>
      <v>7</v>
      <v>6</v>
      <v>2</v>
      <v>6</v>
      <v>6</v>
      <v>6</v>
      <v>8</v>
      <v>8</v>
      <v>3</v>
      <v>9</v>
      <v>6</v>
      <v>6</v>
      <v>6</v>
      <v>8</v>
      <v>4</v>
      <v>10</v>
      <v>5</v>
      <v>8</v>
    </spb>
    <spb s="8">
      <v>Delayed 15 minutes</v>
      <v>from previous close</v>
      <v>from previous close</v>
      <v>Source: Nasdaq Nordic</v>
      <v>GMT</v>
    </spb>
  </spbData>
</supportingPropertyBags>
</file>

<file path=xl/richData/rdsupportingpropertybagstructure.xml><?xml version="1.0" encoding="utf-8"?>
<spbStructures xmlns="http://schemas.microsoft.com/office/spreadsheetml/2017/richdata2" count="9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  <s>
    <k n="^Order" t="spba"/>
    <k n="TitleProperty" t="s"/>
    <k n="SubTitleProperty" t="s"/>
  </s>
  <s>
    <k n="ExchangeID" t="spb"/>
    <k n="UniqueName" t="spb"/>
    <k n="`%ProviderInfo" t="spb"/>
    <k n="LearnMoreOnLink" t="spb"/>
  </s>
  <s>
    <k n="Low" t="i"/>
    <k n="P/E" t="i"/>
    <k n="Beta" t="i"/>
    <k n="High" t="i"/>
    <k n="Name" t="i"/>
    <k n="Open" t="i"/>
    <k n="Price" t="i"/>
    <k n="Change" t="i"/>
    <k n="Volume" t="i"/>
    <k n="Employees" t="i"/>
    <k n="Change (%)" t="i"/>
    <k n="Market cap" t="i"/>
    <k n="52 week low" t="i"/>
    <k n="52 week high" t="i"/>
    <k n="Previous close" t="i"/>
    <k n="Volume average" t="i"/>
    <k n="Last trade time" t="i"/>
    <k n="Year incorporated" t="i"/>
    <k n="`%EntityServiceId" t="i"/>
    <k n="Shares outstanding" t="i"/>
  </s>
  <s>
    <k n="Price" t="s"/>
    <k n="Change" t="s"/>
    <k n="Change (%)" t="s"/>
    <k n="ExchangeID" t="s"/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7">
    <x:dxf>
      <x:numFmt numFmtId="0" formatCode="General"/>
    </x:dxf>
    <x:dxf>
      <x:numFmt numFmtId="4" formatCode="#,##0.00"/>
    </x:dxf>
    <x:dxf>
      <x:numFmt numFmtId="3" formatCode="#,##0"/>
    </x:dxf>
    <x:dxf>
      <x:numFmt numFmtId="14" formatCode="0.00%"/>
    </x:dxf>
    <x:dxf>
      <x:numFmt numFmtId="27" formatCode="dd/mm/yyyy\ hh:mm"/>
    </x:dxf>
    <x:dxf>
      <x:numFmt numFmtId="1" formatCode="0"/>
    </x:dxf>
    <x:dxf>
      <x:numFmt numFmtId="2" formatCode="0.00"/>
    </x:dxf>
  </dxfs>
  <richProperties>
    <rPr n="NumberFormat" t="s"/>
    <rPr n="IsTitleField" t="b"/>
  </richProperties>
  <richStyles>
    <rSty dxfid="0">
      <rpv i="0">_([$€-x-euro2] * #,##0.00_);_([$€-x-euro2] * (#,##0.00);_([$€-x-euro2] * "-"??_);_(@_)</rpv>
    </rSty>
    <rSty>
      <rpv i="1">1</rpv>
    </rSty>
    <rSty dxfid="3"/>
    <rSty dxfid="4"/>
    <rSty dxfid="6">
      <rpv i="0">0.00</rpv>
    </rSty>
    <rSty dxfid="0">
      <rpv i="0">_-* #,##0.00 [$kr-smj-SE]_-;-* #,##0.00 [$kr-smj-SE]_-;_-* "-"?? [$kr-smj-SE]_-;_-@_-</rpv>
    </rSty>
    <rSty dxfid="1">
      <rpv i="0">#,##0.00</rpv>
    </rSty>
    <rSty dxfid="2">
      <rpv i="0">#,##0</rpv>
    </rSty>
    <rSty dxfid="0">
      <rpv i="0">_-* #,##0 [$kr-smj-SE]_-;-* #,##0 [$kr-smj-SE]_-;_-* "-" [$kr-smj-SE]_-;_-@_-</rpv>
    </rSty>
    <rSty dxfid="5">
      <rpv i="0">0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0AFB360-B52C-CB44-8B61-C86097DA8FB8}" name="Transactions01" displayName="Transactions01" ref="A43:K199" totalsRowShown="0">
  <autoFilter ref="A43:K199" xr:uid="{BE3413F4-03F4-4D8E-80C7-EEABB630C929}"/>
  <tableColumns count="11">
    <tableColumn id="7" xr3:uid="{272C75E0-BBA9-AE46-80E2-D0B3E2CFA99D}" name="Projected Amount (EUR)" dataDxfId="50">
      <calculatedColumnFormula array="1">CONVERT2EUR(Transactions01[[#This Row],[Projected Currency]], Transactions01[[#This Row],[Projected Amount]])</calculatedColumnFormula>
    </tableColumn>
    <tableColumn id="10" xr3:uid="{83D9F1C4-D222-A24E-8945-BAF6D38F4CB0}" name="Actual Amount (EUR)" dataDxfId="49">
      <calculatedColumnFormula array="1">CONVERT2EUR(Transactions01[[#This Row],[Actual Currency]], Transactions01[[#This Row],[Actual Amount]])</calculatedColumnFormula>
    </tableColumn>
    <tableColumn id="11" xr3:uid="{A260C673-CABF-2D44-BD32-7D3FEE87B639}" name="Difference (EUR)" dataDxfId="48">
      <calculatedColumnFormula>Transactions01[[#This Row],[Actual Amount (EUR)]] - Transactions01[[#This Row],[Projected Amount (EUR)]]</calculatedColumnFormula>
    </tableColumn>
    <tableColumn id="1" xr3:uid="{1C60E522-2331-EB41-B921-6517C0357722}" name="Type" dataDxfId="47"/>
    <tableColumn id="8" xr3:uid="{22075119-D919-2C45-8B1F-BDB09F883BC0}" name="Category" dataDxfId="46"/>
    <tableColumn id="2" xr3:uid="{4E8434DF-05B9-B647-86F8-908D7607E11B}" name="Sub-category" dataDxfId="45"/>
    <tableColumn id="9" xr3:uid="{17EA39BB-2BEB-854D-8BDB-D27632D06DEA}" name="Description" dataDxfId="44"/>
    <tableColumn id="4" xr3:uid="{3843AA7A-63F9-8C40-9382-D5C839F95942}" name="Projected Currency" dataDxfId="43"/>
    <tableColumn id="5" xr3:uid="{2DE84C60-20A6-F04C-BBDC-C733D9EDBD94}" name="Projected Amount" dataDxfId="42"/>
    <tableColumn id="12" xr3:uid="{145F23E9-DCBD-4A54-B836-53EA9A18C52F}" name="Actual Currency" dataDxfId="41"/>
    <tableColumn id="6" xr3:uid="{9AF1319E-0A89-3340-9932-CAEE4C43546B}" name="Actual Amount" dataDxfId="40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14CA7B2B-40F3-DC4D-9DB7-1136EEFF3A46}" name="Budget01" displayName="Budget01" ref="A3:E7" totalsRowCount="1">
  <autoFilter ref="A3:E6" xr:uid="{F0794A87-15C6-41FB-830A-DCD8A580D945}"/>
  <tableColumns count="5">
    <tableColumn id="2" xr3:uid="{A63F62A2-EFCD-A045-A8E7-B3BD4CE07B8F}" name="Projected" totalsRowFunction="sum" dataDxfId="39" totalsRowDxfId="38">
      <calculatedColumnFormula xml:space="preserve"> Budget01[[#This Row],[Slice]] * SUMIFS(Transactions01[Projected Amount (EUR)], Transactions01[Type], "Income")</calculatedColumnFormula>
    </tableColumn>
    <tableColumn id="3" xr3:uid="{433CBD40-A24E-914A-B2D1-E3C4A178F92B}" name="Actual" totalsRowFunction="sum" dataDxfId="37" totalsRowDxfId="36">
      <calculatedColumnFormula xml:space="preserve"> Budget01[[#This Row],[Slice]] * SUMIFS(Transactions01[Actual Amount (EUR)], Transactions01[Type], "Income")</calculatedColumnFormula>
    </tableColumn>
    <tableColumn id="4" xr3:uid="{CAC6407E-BF35-7742-98F2-41747A27301C}" name="Difference" totalsRowFunction="sum" dataDxfId="35" totalsRowDxfId="34">
      <calculatedColumnFormula>Budget01[[#This Row],[Actual]]-Budget01[[#This Row],[Projected]]</calculatedColumnFormula>
    </tableColumn>
    <tableColumn id="6" xr3:uid="{90C9B527-62E9-F24E-BFFC-8D2FBCDF7507}" name="Category" totalsRowLabel="All" dataDxfId="33"/>
    <tableColumn id="9" xr3:uid="{433427B6-3E47-9341-BF9F-AA8E892FDC6B}" name="Slice" totalsRowFunction="sum" dataDxfId="32" totalsRowDxfId="31"/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AA319A88-0B74-3445-AA45-63A87D6B8379}" name="TransactionsSummary01" displayName="TransactionsSummary01" ref="A31:E38">
  <autoFilter ref="A31:E38" xr:uid="{713728AE-6BDD-4D46-B9B2-DD02597E5EAD}"/>
  <tableColumns count="5">
    <tableColumn id="2" xr3:uid="{F0BB4638-B383-FD4F-9847-6380FF9562FF}" name="Projected" totalsRowFunction="sum" dataDxfId="30" totalsRowDxfId="29">
      <calculatedColumnFormula xml:space="preserve"> SUMIFS(Transactions01[Projected Amount (EUR)], Transactions01[Type], TransactionsSummary01[[#This Row],[Type]], Transactions01[Category], TransactionsSummary01[[#This Row],[Category]])</calculatedColumnFormula>
    </tableColumn>
    <tableColumn id="3" xr3:uid="{F2DE60D0-7E20-724B-A25D-ED851B6C25A2}" name="Actual" totalsRowFunction="sum" dataDxfId="28">
      <calculatedColumnFormula xml:space="preserve"> SUMIFS(Transactions01[Actual Amount (EUR)], Transactions01[Type], TransactionsSummary01[[#This Row],[Type]], Transactions01[Category], TransactionsSummary01[[#This Row],[Category]])</calculatedColumnFormula>
    </tableColumn>
    <tableColumn id="4" xr3:uid="{B80969C1-17FF-DD41-8C71-D5568488AEBD}" name="Difference" totalsRowFunction="sum" dataDxfId="27" totalsRowDxfId="26">
      <calculatedColumnFormula>TransactionsSummary01[[#This Row],[Actual]]-TransactionsSummary01[[#This Row],[Projected]]</calculatedColumnFormula>
    </tableColumn>
    <tableColumn id="6" xr3:uid="{DA6DEECC-A3C3-6A49-8C44-39C278D53112}" name="Type" totalsRowLabel="All" dataDxfId="25"/>
    <tableColumn id="9" xr3:uid="{C522D97F-8BBD-EA49-A205-DB8122011FD2}" name="Category" dataDxfId="24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7BEF764D-4729-AA49-A707-F2AAC2E722C2}" name="BudgetBalance01" displayName="BudgetBalance01" ref="A12:D16" totalsRowCount="1">
  <autoFilter ref="A12:D15" xr:uid="{20B85D4C-DE74-40AD-93EF-EEC715B5DC66}"/>
  <tableColumns count="4">
    <tableColumn id="2" xr3:uid="{B1812747-9CB4-C543-9F83-9C8DC9294C29}" name="Projected" totalsRowFunction="sum" dataDxfId="23" totalsRowDxfId="22"/>
    <tableColumn id="3" xr3:uid="{6CDA323C-0487-9F4D-8776-55CA70004444}" name="Actual" totalsRowFunction="sum" dataDxfId="21" totalsRowDxfId="20">
      <calculatedColumnFormula xml:space="preserve">
SUMIFS(Budget01[Actual], Budget01[Category], BudgetBalance01[[#This Row],[Category]]) -
SUMIFS(Transactions01[Actual Amount (EUR)], Transactions01[Type], "&lt;&gt;Income", Transactions01[Category], BudgetBalance01[[#This Row],[Category]])</calculatedColumnFormula>
    </tableColumn>
    <tableColumn id="4" xr3:uid="{AD2C1400-9583-1F42-89C5-21563CF0F2B8}" name="Difference" totalsRowFunction="sum" dataDxfId="19" totalsRowDxfId="18">
      <calculatedColumnFormula>BudgetBalance01[[#This Row],[Actual]] - BudgetBalance01[[#This Row],[Projected]]</calculatedColumnFormula>
    </tableColumn>
    <tableColumn id="5" xr3:uid="{BEDC6606-A08C-B64A-8B21-CD6EF37A4F0D}" name="Category" totalsRowLabel="All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F8E2A1BC-F790-A247-B451-15F5E99F2C63}" name="CurrencyBalance01" displayName="CurrencyBalance01" ref="A21:D26" totalsRowShown="0">
  <autoFilter ref="A21:D26" xr:uid="{A84D0160-C5B3-4C85-92A8-EE4858CA89D3}"/>
  <tableColumns count="4">
    <tableColumn id="2" xr3:uid="{186507E4-1607-8C4E-B510-F534ECE3A345}" name="Projected" dataDxfId="17">
      <calculatedColumnFormula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calculatedColumnFormula>
    </tableColumn>
    <tableColumn id="3" xr3:uid="{AC4F0E33-8D85-F24C-8807-2A5E160CA7D2}" name="Actual" dataDxfId="16">
      <calculatedColumnFormula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calculatedColumnFormula>
    </tableColumn>
    <tableColumn id="4" xr3:uid="{41D2F194-E6FB-E34A-A38B-93373251A7A8}" name="Difference" dataDxfId="15">
      <calculatedColumnFormula>CurrencyBalance01[[#This Row],[Actual]] - CurrencyBalance01[[#This Row],[Projected]]</calculatedColumnFormula>
    </tableColumn>
    <tableColumn id="1" xr3:uid="{14903CA0-61BC-714D-8728-1A416A52E023}" name="Currency" dataDxfId="14"/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0BC4EB-15E7-4CF4-AFBA-FF111772AE5C}" name="ExchangeRate" displayName="ExchangeRate" ref="A1:D4" totalsRowShown="0">
  <autoFilter ref="A1:D4" xr:uid="{9485BED7-A4BC-4774-BD2F-58AADBA0AC44}">
    <filterColumn colId="0" hiddenButton="1"/>
    <filterColumn colId="1" hiddenButton="1"/>
    <filterColumn colId="2" hiddenButton="1"/>
    <filterColumn colId="3" hiddenButton="1"/>
  </autoFilter>
  <tableColumns count="4">
    <tableColumn id="1" xr3:uid="{6DD8BA51-5A47-4F6C-AF1C-B54E957A639A}" name="Conversion"/>
    <tableColumn id="2" xr3:uid="{28C1F1DC-D61F-49A0-96EC-5F0909167D81}" name="From currency">
      <calculatedColumnFormula array="1">_FV(ExchangeRate[[#This Row],[Conversion]],"From currency",TRUE)</calculatedColumnFormula>
    </tableColumn>
    <tableColumn id="3" xr3:uid="{7E58B5AE-0B45-4636-921F-5088D2F9A1A8}" name="Currency">
      <calculatedColumnFormula array="1">_FV(ExchangeRate[[#This Row],[Conversion]],"Currency")</calculatedColumnFormula>
    </tableColumn>
    <tableColumn id="4" xr3:uid="{17A4BA70-57B8-48A4-82C3-BB04A718A245}" name="Price" dataDxfId="13">
      <calculatedColumnFormula array="1">_FV(ExchangeRate[[#This Row],[Conversion]],"Price")</calculatedColumnFormula>
    </tableColumn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085426-7164-4914-97A6-D4523E7C5425}" name="Shares" displayName="Shares" ref="A7:C8" totalsRowShown="0">
  <autoFilter ref="A7:C8" xr:uid="{47B11DF5-7AD6-47C6-9B05-B6349A4BF18C}">
    <filterColumn colId="0" hiddenButton="1"/>
    <filterColumn colId="1" hiddenButton="1"/>
    <filterColumn colId="2" hiddenButton="1"/>
  </autoFilter>
  <tableColumns count="3">
    <tableColumn id="1" xr3:uid="{CD9A0AE8-AFF4-467D-85D4-E84CC80FDCD9}" name="Share"/>
    <tableColumn id="3" xr3:uid="{C27F9586-7ED6-444A-9CA0-B8ABF8870079}" name="Currency">
      <calculatedColumnFormula array="1">_FV(Shares[[#This Row],[Share]],"Currency")</calculatedColumnFormula>
    </tableColumn>
    <tableColumn id="4" xr3:uid="{26B4202C-2D3C-4E90-95C3-DC45D34C4B56}" name="Price" dataDxfId="12">
      <calculatedColumnFormula array="1">_FV(Shares[[#This Row],[Share]],"Price")</calculatedColumnFormula>
    </tableColumn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5558A-440F-0D4F-AAE5-FBE450E17D70}">
  <sheetPr codeName="Sheet25"/>
  <dimension ref="A1:K199"/>
  <sheetViews>
    <sheetView tabSelected="1" topLeftCell="A26" zoomScale="90" zoomScaleNormal="90" workbookViewId="0">
      <selection activeCell="H44" sqref="H44:I44"/>
    </sheetView>
  </sheetViews>
  <sheetFormatPr defaultColWidth="8.85546875" defaultRowHeight="15" x14ac:dyDescent="0.25"/>
  <cols>
    <col min="1" max="6" width="30.7109375" customWidth="1"/>
    <col min="7" max="7" width="50.7109375" customWidth="1"/>
    <col min="8" max="11" width="3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11" t="s">
        <v>8</v>
      </c>
      <c r="B1" s="11"/>
    </row>
    <row r="2" spans="1:8" ht="20.100000000000001" customHeight="1" thickTop="1" x14ac:dyDescent="0.25"/>
    <row r="3" spans="1:8" ht="20.100000000000001" customHeight="1" x14ac:dyDescent="0.25">
      <c r="A3" s="1" t="s">
        <v>4</v>
      </c>
      <c r="B3" s="1" t="s">
        <v>5</v>
      </c>
      <c r="C3" s="2" t="s">
        <v>6</v>
      </c>
      <c r="D3" t="s">
        <v>1</v>
      </c>
      <c r="E3" t="s">
        <v>9</v>
      </c>
    </row>
    <row r="4" spans="1:8" ht="20.100000000000001" customHeight="1" x14ac:dyDescent="0.25">
      <c r="A4" s="9">
        <f xml:space="preserve"> Budget01[[#This Row],[Slice]] * SUMIFS(Transactions01[Projected Amount (EUR)], Transactions01[Type], "Income")</f>
        <v>0</v>
      </c>
      <c r="B4" s="9">
        <f xml:space="preserve"> Budget01[[#This Row],[Slice]] * SUMIFS(Transactions01[Actual Amount (EUR)], Transactions01[Type], "Income")</f>
        <v>0</v>
      </c>
      <c r="C4" s="9">
        <f>Budget01[[#This Row],[Actual]]-Budget01[[#This Row],[Projected]]</f>
        <v>0</v>
      </c>
      <c r="D4" t="s">
        <v>22</v>
      </c>
      <c r="E4" s="4">
        <v>0.5</v>
      </c>
    </row>
    <row r="5" spans="1:8" ht="20.100000000000001" customHeight="1" x14ac:dyDescent="0.25">
      <c r="A5" s="9">
        <f xml:space="preserve"> Budget01[[#This Row],[Slice]] * SUMIFS(Transactions01[Projected Amount (EUR)], Transactions01[Type], "Income")</f>
        <v>0</v>
      </c>
      <c r="B5" s="9">
        <f xml:space="preserve"> Budget01[[#This Row],[Slice]] * SUMIFS(Transactions01[Actual Amount (EUR)], Transactions01[Type], "Income")</f>
        <v>0</v>
      </c>
      <c r="C5" s="9">
        <f>Budget01[[#This Row],[Actual]]-Budget01[[#This Row],[Projected]]</f>
        <v>0</v>
      </c>
      <c r="D5" t="s">
        <v>24</v>
      </c>
      <c r="E5" s="4">
        <v>0.3</v>
      </c>
    </row>
    <row r="6" spans="1:8" ht="20.100000000000001" customHeight="1" x14ac:dyDescent="0.25">
      <c r="A6" s="9">
        <f xml:space="preserve"> Budget01[[#This Row],[Slice]] * SUMIFS(Transactions01[Projected Amount (EUR)], Transactions01[Type], "Income")</f>
        <v>0</v>
      </c>
      <c r="B6" s="9">
        <f xml:space="preserve"> Budget01[[#This Row],[Slice]] * SUMIFS(Transactions01[Actual Amount (EUR)], Transactions01[Type], "Income")</f>
        <v>0</v>
      </c>
      <c r="C6" s="9">
        <f>Budget01[[#This Row],[Actual]]-Budget01[[#This Row],[Projected]]</f>
        <v>0</v>
      </c>
      <c r="D6" t="s">
        <v>20</v>
      </c>
      <c r="E6" s="4">
        <v>0.2</v>
      </c>
    </row>
    <row r="7" spans="1:8" ht="20.100000000000001" customHeight="1" x14ac:dyDescent="0.25">
      <c r="A7" s="10">
        <f>SUBTOTAL(109,Budget01[Projected])</f>
        <v>0</v>
      </c>
      <c r="B7" s="10">
        <f>SUBTOTAL(109,Budget01[Actual])</f>
        <v>0</v>
      </c>
      <c r="C7" s="10">
        <f>SUBTOTAL(109,Budget01[Difference])</f>
        <v>0</v>
      </c>
      <c r="D7" t="s">
        <v>11</v>
      </c>
      <c r="E7" s="4">
        <f>SUBTOTAL(109,Budget01[Slice])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11" t="s">
        <v>34</v>
      </c>
      <c r="B10" s="11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4</v>
      </c>
      <c r="B12" t="s">
        <v>5</v>
      </c>
      <c r="C12" t="s">
        <v>6</v>
      </c>
      <c r="D12" t="s">
        <v>1</v>
      </c>
    </row>
    <row r="13" spans="1:8" ht="20.100000000000001" customHeight="1" x14ac:dyDescent="0.25">
      <c r="A13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3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3" s="10">
        <f>BudgetBalance01[[#This Row],[Actual]] - BudgetBalance01[[#This Row],[Projected]]</f>
        <v>0</v>
      </c>
      <c r="D13" t="s">
        <v>22</v>
      </c>
      <c r="F13" s="8"/>
    </row>
    <row r="14" spans="1:8" ht="20.100000000000001" customHeight="1" x14ac:dyDescent="0.25">
      <c r="A14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4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4" s="10">
        <f>BudgetBalance01[[#This Row],[Actual]] - BudgetBalance01[[#This Row],[Projected]]</f>
        <v>0</v>
      </c>
      <c r="D14" t="s">
        <v>24</v>
      </c>
    </row>
    <row r="15" spans="1:8" ht="20.100000000000001" customHeight="1" x14ac:dyDescent="0.25">
      <c r="A15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5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5" s="10">
        <f>BudgetBalance01[[#This Row],[Actual]] - BudgetBalance01[[#This Row],[Projected]]</f>
        <v>0</v>
      </c>
      <c r="D15" t="s">
        <v>20</v>
      </c>
    </row>
    <row r="16" spans="1:8" ht="20.100000000000001" customHeight="1" x14ac:dyDescent="0.25">
      <c r="A16" s="10">
        <f>SUBTOTAL(109,BudgetBalance01[Projected])</f>
        <v>0</v>
      </c>
      <c r="B16" s="10">
        <f>SUBTOTAL(109,BudgetBalance01[Actual])</f>
        <v>0</v>
      </c>
      <c r="C16" s="10">
        <f>SUBTOTAL(109,BudgetBalance01[Difference])</f>
        <v>0</v>
      </c>
      <c r="D16" t="s">
        <v>11</v>
      </c>
    </row>
    <row r="17" spans="1:5" ht="20.100000000000001" customHeight="1" x14ac:dyDescent="0.25"/>
    <row r="18" spans="1:5" ht="20.100000000000001" customHeight="1" x14ac:dyDescent="0.25"/>
    <row r="19" spans="1:5" ht="20.100000000000001" customHeight="1" thickBot="1" x14ac:dyDescent="0.35">
      <c r="A19" s="11" t="s">
        <v>35</v>
      </c>
      <c r="B19" s="11"/>
    </row>
    <row r="20" spans="1:5" ht="20.100000000000001" customHeight="1" thickTop="1" x14ac:dyDescent="0.25"/>
    <row r="21" spans="1:5" ht="20.100000000000001" customHeight="1" x14ac:dyDescent="0.25">
      <c r="A21" t="s">
        <v>4</v>
      </c>
      <c r="B21" t="s">
        <v>5</v>
      </c>
      <c r="C21" t="s">
        <v>6</v>
      </c>
      <c r="D21" t="s">
        <v>3</v>
      </c>
    </row>
    <row r="22" spans="1:5" ht="20.100000000000001" customHeight="1" x14ac:dyDescent="0.25">
      <c r="A22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2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2" s="5">
        <f>CurrencyBalance01[[#This Row],[Actual]] - CurrencyBalance01[[#This Row],[Projected]]</f>
        <v>0</v>
      </c>
      <c r="D22" t="s">
        <v>10</v>
      </c>
    </row>
    <row r="23" spans="1:5" ht="20.100000000000001" customHeight="1" x14ac:dyDescent="0.25">
      <c r="A23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3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3" s="5">
        <f>CurrencyBalance01[[#This Row],[Actual]] - CurrencyBalance01[[#This Row],[Projected]]</f>
        <v>0</v>
      </c>
      <c r="D23" t="s">
        <v>12</v>
      </c>
    </row>
    <row r="24" spans="1:5" ht="20.100000000000001" customHeight="1" x14ac:dyDescent="0.25">
      <c r="A24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4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4" s="5">
        <f>CurrencyBalance01[[#This Row],[Actual]] - CurrencyBalance01[[#This Row],[Projected]]</f>
        <v>0</v>
      </c>
      <c r="D24" t="s">
        <v>13</v>
      </c>
    </row>
    <row r="25" spans="1:5" ht="20.100000000000001" customHeight="1" x14ac:dyDescent="0.25">
      <c r="A25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5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5" s="5">
        <f>CurrencyBalance01[[#This Row],[Actual]] - CurrencyBalance01[[#This Row],[Projected]]</f>
        <v>0</v>
      </c>
      <c r="D25" t="s">
        <v>14</v>
      </c>
    </row>
    <row r="26" spans="1:5" ht="20.100000000000001" customHeight="1" x14ac:dyDescent="0.25">
      <c r="A26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6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6" s="5">
        <f>CurrencyBalance01[[#This Row],[Actual]] - CurrencyBalance01[[#This Row],[Projected]]</f>
        <v>0</v>
      </c>
      <c r="D26" t="s">
        <v>15</v>
      </c>
    </row>
    <row r="27" spans="1:5" ht="20.100000000000001" customHeight="1" x14ac:dyDescent="0.25"/>
    <row r="28" spans="1:5" ht="20.100000000000001" customHeight="1" x14ac:dyDescent="0.25"/>
    <row r="29" spans="1:5" ht="20.100000000000001" customHeight="1" thickBot="1" x14ac:dyDescent="0.35">
      <c r="A29" s="11" t="s">
        <v>36</v>
      </c>
      <c r="B29" s="11"/>
    </row>
    <row r="30" spans="1:5" ht="20.100000000000001" customHeight="1" thickTop="1" x14ac:dyDescent="0.25"/>
    <row r="31" spans="1:5" ht="20.100000000000001" customHeight="1" x14ac:dyDescent="0.25">
      <c r="A31" s="1" t="s">
        <v>4</v>
      </c>
      <c r="B31" s="1" t="s">
        <v>5</v>
      </c>
      <c r="C31" s="2" t="s">
        <v>6</v>
      </c>
      <c r="D31" t="s">
        <v>0</v>
      </c>
      <c r="E31" t="s">
        <v>1</v>
      </c>
    </row>
    <row r="32" spans="1:5" ht="20.100000000000001" customHeight="1" x14ac:dyDescent="0.25">
      <c r="A32" s="9">
        <f xml:space="preserve"> SUMIFS(Transactions01[Projected Amount (EUR)], Transactions01[Type], TransactionsSummary01[[#This Row],[Type]], Transactions01[Category], TransactionsSummary01[[#This Row],[Category]])</f>
        <v>0</v>
      </c>
      <c r="B32" s="9">
        <f xml:space="preserve"> SUMIFS(Transactions01[Actual Amount (EUR)], Transactions01[Type], TransactionsSummary01[[#This Row],[Type]], Transactions01[Category], TransactionsSummary01[[#This Row],[Category]])</f>
        <v>0</v>
      </c>
      <c r="C32" s="9">
        <f>TransactionsSummary01[[#This Row],[Actual]]-TransactionsSummary01[[#This Row],[Projected]]</f>
        <v>0</v>
      </c>
      <c r="D32" t="s">
        <v>21</v>
      </c>
      <c r="E32" t="s">
        <v>21</v>
      </c>
    </row>
    <row r="33" spans="1:11" ht="20.100000000000001" customHeight="1" x14ac:dyDescent="0.25">
      <c r="A33" s="9">
        <f xml:space="preserve"> SUMIFS(Transactions01[Projected Amount (EUR)], Transactions01[Type], TransactionsSummary01[[#This Row],[Type]], Transactions01[Category], TransactionsSummary01[[#This Row],[Category]])</f>
        <v>0</v>
      </c>
      <c r="B33" s="9">
        <f xml:space="preserve"> SUMIFS(Transactions01[Actual Amount (EUR)], Transactions01[Type], TransactionsSummary01[[#This Row],[Type]], Transactions01[Category], TransactionsSummary01[[#This Row],[Category]])</f>
        <v>0</v>
      </c>
      <c r="C33" s="9">
        <f>TransactionsSummary01[[#This Row],[Actual]]-TransactionsSummary01[[#This Row],[Projected]]</f>
        <v>0</v>
      </c>
      <c r="D33" s="7" t="s">
        <v>25</v>
      </c>
      <c r="E33" t="s">
        <v>22</v>
      </c>
    </row>
    <row r="34" spans="1:11" ht="20.100000000000001" customHeight="1" x14ac:dyDescent="0.25">
      <c r="A34" s="9">
        <f xml:space="preserve"> SUMIFS(Transactions01[Projected Amount (EUR)], Transactions01[Type], TransactionsSummary01[[#This Row],[Type]], Transactions01[Category], TransactionsSummary01[[#This Row],[Category]])</f>
        <v>0</v>
      </c>
      <c r="B34" s="9">
        <f xml:space="preserve"> SUMIFS(Transactions01[Actual Amount (EUR)], Transactions01[Type], TransactionsSummary01[[#This Row],[Type]], Transactions01[Category], TransactionsSummary01[[#This Row],[Category]])</f>
        <v>0</v>
      </c>
      <c r="C34" s="9">
        <f>TransactionsSummary01[[#This Row],[Actual]]-TransactionsSummary01[[#This Row],[Projected]]</f>
        <v>0</v>
      </c>
      <c r="D34" s="7" t="s">
        <v>25</v>
      </c>
      <c r="E34" t="s">
        <v>24</v>
      </c>
    </row>
    <row r="35" spans="1:11" ht="20.100000000000001" customHeight="1" x14ac:dyDescent="0.25">
      <c r="A35" s="9">
        <f xml:space="preserve"> SUMIFS(Transactions01[Projected Amount (EUR)], Transactions01[Type], TransactionsSummary01[[#This Row],[Type]], Transactions01[Category], TransactionsSummary01[[#This Row],[Category]])</f>
        <v>0</v>
      </c>
      <c r="B35" s="9">
        <f xml:space="preserve"> SUMIFS(Transactions01[Actual Amount (EUR)], Transactions01[Type], TransactionsSummary01[[#This Row],[Type]], Transactions01[Category], TransactionsSummary01[[#This Row],[Category]])</f>
        <v>0</v>
      </c>
      <c r="C35" s="9">
        <f>TransactionsSummary01[[#This Row],[Actual]]-TransactionsSummary01[[#This Row],[Projected]]</f>
        <v>0</v>
      </c>
      <c r="D35" s="7" t="s">
        <v>25</v>
      </c>
      <c r="E35" t="s">
        <v>20</v>
      </c>
    </row>
    <row r="36" spans="1:11" ht="20.100000000000001" customHeight="1" x14ac:dyDescent="0.25">
      <c r="A36" s="9">
        <f xml:space="preserve"> SUMIFS(Transactions01[Projected Amount (EUR)], Transactions01[Type], TransactionsSummary01[[#This Row],[Type]], Transactions01[Category], TransactionsSummary01[[#This Row],[Category]])</f>
        <v>0</v>
      </c>
      <c r="B36" s="9">
        <f xml:space="preserve"> SUMIFS(Transactions01[Actual Amount (EUR)], Transactions01[Type], TransactionsSummary01[[#This Row],[Type]], Transactions01[Category], TransactionsSummary01[[#This Row],[Category]])</f>
        <v>0</v>
      </c>
      <c r="C36" s="9">
        <f>TransactionsSummary01[[#This Row],[Actual]]-TransactionsSummary01[[#This Row],[Projected]]</f>
        <v>0</v>
      </c>
      <c r="D36" s="7" t="s">
        <v>23</v>
      </c>
      <c r="E36" t="s">
        <v>22</v>
      </c>
    </row>
    <row r="37" spans="1:11" ht="20.100000000000001" customHeight="1" x14ac:dyDescent="0.25">
      <c r="A37" s="9">
        <f xml:space="preserve"> SUMIFS(Transactions01[Projected Amount (EUR)], Transactions01[Type], TransactionsSummary01[[#This Row],[Type]], Transactions01[Category], TransactionsSummary01[[#This Row],[Category]])</f>
        <v>0</v>
      </c>
      <c r="B37" s="9">
        <f xml:space="preserve"> SUMIFS(Transactions01[Actual Amount (EUR)], Transactions01[Type], TransactionsSummary01[[#This Row],[Type]], Transactions01[Category], TransactionsSummary01[[#This Row],[Category]])</f>
        <v>0</v>
      </c>
      <c r="C37" s="9">
        <f>TransactionsSummary01[[#This Row],[Actual]]-TransactionsSummary01[[#This Row],[Projected]]</f>
        <v>0</v>
      </c>
      <c r="D37" s="7" t="s">
        <v>23</v>
      </c>
      <c r="E37" t="s">
        <v>24</v>
      </c>
    </row>
    <row r="38" spans="1:11" ht="20.100000000000001" customHeight="1" x14ac:dyDescent="0.25">
      <c r="A38" s="9">
        <f xml:space="preserve"> SUMIFS(Transactions01[Projected Amount (EUR)], Transactions01[Type], TransactionsSummary01[[#This Row],[Type]], Transactions01[Category], TransactionsSummary01[[#This Row],[Category]])</f>
        <v>0</v>
      </c>
      <c r="B38" s="9">
        <f xml:space="preserve"> SUMIFS(Transactions01[Actual Amount (EUR)], Transactions01[Type], TransactionsSummary01[[#This Row],[Type]], Transactions01[Category], TransactionsSummary01[[#This Row],[Category]])</f>
        <v>0</v>
      </c>
      <c r="C38" s="9">
        <f>TransactionsSummary01[[#This Row],[Actual]]-TransactionsSummary01[[#This Row],[Projected]]</f>
        <v>0</v>
      </c>
      <c r="D38" s="7" t="s">
        <v>23</v>
      </c>
      <c r="E38" t="s">
        <v>20</v>
      </c>
    </row>
    <row r="39" spans="1:11" ht="20.100000000000001" customHeight="1" x14ac:dyDescent="0.25">
      <c r="B39" s="3"/>
      <c r="C39" s="3"/>
      <c r="D39" s="3"/>
      <c r="E39" s="7"/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thickBot="1" x14ac:dyDescent="0.35">
      <c r="A41" s="11" t="s">
        <v>26</v>
      </c>
      <c r="B41" s="11"/>
    </row>
    <row r="42" spans="1:11" ht="20.100000000000001" customHeight="1" thickTop="1" x14ac:dyDescent="0.25"/>
    <row r="43" spans="1:11" ht="20.100000000000001" customHeight="1" x14ac:dyDescent="0.25">
      <c r="A43" t="s">
        <v>32</v>
      </c>
      <c r="B43" t="s">
        <v>33</v>
      </c>
      <c r="C43" t="s">
        <v>27</v>
      </c>
      <c r="D43" t="s">
        <v>0</v>
      </c>
      <c r="E43" t="s">
        <v>1</v>
      </c>
      <c r="F43" t="s">
        <v>7</v>
      </c>
      <c r="G43" t="s">
        <v>2</v>
      </c>
      <c r="H43" t="s">
        <v>28</v>
      </c>
      <c r="I43" t="s">
        <v>29</v>
      </c>
      <c r="J43" t="s">
        <v>30</v>
      </c>
      <c r="K43" t="s">
        <v>31</v>
      </c>
    </row>
    <row r="44" spans="1:11" ht="20.100000000000001" customHeight="1" x14ac:dyDescent="0.25">
      <c r="A44" s="10" cm="1">
        <f t="array" ref="A44">CONVERT2EUR(Transactions01[[#This Row],[Projected Currency]], Transactions01[[#This Row],[Projected Amount]])</f>
        <v>0</v>
      </c>
      <c r="B44" s="10" cm="1">
        <f t="array" ref="B44">CONVERT2EUR(Transactions01[[#This Row],[Actual Currency]], Transactions01[[#This Row],[Actual Amount]])</f>
        <v>0</v>
      </c>
      <c r="C44" s="10">
        <f>Transactions01[[#This Row],[Actual Amount (EUR)]] - Transactions01[[#This Row],[Projected Amount (EUR)]]</f>
        <v>0</v>
      </c>
      <c r="I44" s="5"/>
      <c r="K44" s="5"/>
    </row>
    <row r="45" spans="1:11" ht="20.100000000000001" customHeight="1" x14ac:dyDescent="0.25">
      <c r="A45" s="10" cm="1">
        <f t="array" ref="A45">CONVERT2EUR(Transactions01[[#This Row],[Projected Currency]], Transactions01[[#This Row],[Projected Amount]])</f>
        <v>0</v>
      </c>
      <c r="B45" s="10" cm="1">
        <f t="array" ref="B45">CONVERT2EUR(Transactions01[[#This Row],[Actual Currency]], Transactions01[[#This Row],[Actual Amount]])</f>
        <v>0</v>
      </c>
      <c r="C45" s="10">
        <f>Transactions01[[#This Row],[Actual Amount (EUR)]] - Transactions01[[#This Row],[Projected Amount (EUR)]]</f>
        <v>0</v>
      </c>
      <c r="I45" s="5"/>
      <c r="K45" s="5"/>
    </row>
    <row r="46" spans="1:11" ht="20.100000000000001" customHeight="1" x14ac:dyDescent="0.25">
      <c r="A46" s="10" cm="1">
        <f t="array" ref="A46">CONVERT2EUR(Transactions01[[#This Row],[Projected Currency]], Transactions01[[#This Row],[Projected Amount]])</f>
        <v>0</v>
      </c>
      <c r="B46" s="10" cm="1">
        <f t="array" ref="B46">CONVERT2EUR(Transactions01[[#This Row],[Actual Currency]], Transactions01[[#This Row],[Actual Amount]])</f>
        <v>0</v>
      </c>
      <c r="C46" s="10">
        <f>Transactions01[[#This Row],[Actual Amount (EUR)]] - Transactions01[[#This Row],[Projected Amount (EUR)]]</f>
        <v>0</v>
      </c>
      <c r="I46" s="5"/>
      <c r="K46" s="5"/>
    </row>
    <row r="47" spans="1:11" ht="20.100000000000001" customHeight="1" x14ac:dyDescent="0.25">
      <c r="A47" s="10" cm="1">
        <f t="array" ref="A47">CONVERT2EUR(Transactions01[[#This Row],[Projected Currency]], Transactions01[[#This Row],[Projected Amount]])</f>
        <v>0</v>
      </c>
      <c r="B47" s="10" cm="1">
        <f t="array" ref="B47">CONVERT2EUR(Transactions01[[#This Row],[Actual Currency]], Transactions01[[#This Row],[Actual Amount]])</f>
        <v>0</v>
      </c>
      <c r="C47" s="10">
        <f>Transactions01[[#This Row],[Actual Amount (EUR)]] - Transactions01[[#This Row],[Projected Amount (EUR)]]</f>
        <v>0</v>
      </c>
      <c r="I47" s="5"/>
      <c r="K47" s="5"/>
    </row>
    <row r="48" spans="1:11" ht="20.100000000000001" customHeight="1" x14ac:dyDescent="0.25">
      <c r="A48" s="10" cm="1">
        <f t="array" ref="A48">CONVERT2EUR(Transactions01[[#This Row],[Projected Currency]], Transactions01[[#This Row],[Projected Amount]])</f>
        <v>0</v>
      </c>
      <c r="B48" s="10" cm="1">
        <f t="array" ref="B48">CONVERT2EUR(Transactions01[[#This Row],[Actual Currency]], Transactions01[[#This Row],[Actual Amount]])</f>
        <v>0</v>
      </c>
      <c r="C48" s="10">
        <f>Transactions01[[#This Row],[Actual Amount (EUR)]] - Transactions01[[#This Row],[Projected Amount (EUR)]]</f>
        <v>0</v>
      </c>
      <c r="I48" s="5"/>
      <c r="K48" s="5"/>
    </row>
    <row r="49" spans="1:11" ht="20.100000000000001" customHeight="1" x14ac:dyDescent="0.25">
      <c r="A49" s="10" cm="1">
        <f t="array" ref="A49">CONVERT2EUR(Transactions01[[#This Row],[Projected Currency]], Transactions01[[#This Row],[Projected Amount]])</f>
        <v>0</v>
      </c>
      <c r="B49" s="10" cm="1">
        <f t="array" ref="B49">CONVERT2EUR(Transactions01[[#This Row],[Actual Currency]], Transactions01[[#This Row],[Actual Amount]])</f>
        <v>0</v>
      </c>
      <c r="C49" s="10">
        <f>Transactions01[[#This Row],[Actual Amount (EUR)]] - Transactions01[[#This Row],[Projected Amount (EUR)]]</f>
        <v>0</v>
      </c>
      <c r="I49" s="5"/>
      <c r="K49" s="5"/>
    </row>
    <row r="50" spans="1:11" ht="20.100000000000001" customHeight="1" x14ac:dyDescent="0.25">
      <c r="A50" s="10" cm="1">
        <f t="array" ref="A50">CONVERT2EUR(Transactions01[[#This Row],[Projected Currency]], Transactions01[[#This Row],[Projected Amount]])</f>
        <v>0</v>
      </c>
      <c r="B50" s="10" cm="1">
        <f t="array" ref="B50">CONVERT2EUR(Transactions01[[#This Row],[Actual Currency]], Transactions01[[#This Row],[Actual Amount]])</f>
        <v>0</v>
      </c>
      <c r="C50" s="10">
        <f>Transactions01[[#This Row],[Actual Amount (EUR)]] - Transactions01[[#This Row],[Projected Amount (EUR)]]</f>
        <v>0</v>
      </c>
      <c r="I50" s="5"/>
      <c r="K50" s="5"/>
    </row>
    <row r="51" spans="1:11" ht="20.100000000000001" customHeight="1" x14ac:dyDescent="0.25">
      <c r="A51" s="10" cm="1">
        <f t="array" ref="A51">CONVERT2EUR(Transactions01[[#This Row],[Projected Currency]], Transactions01[[#This Row],[Projected Amount]])</f>
        <v>0</v>
      </c>
      <c r="B51" s="10" cm="1">
        <f t="array" ref="B51">CONVERT2EUR(Transactions01[[#This Row],[Actual Currency]], Transactions01[[#This Row],[Actual Amount]])</f>
        <v>0</v>
      </c>
      <c r="C51" s="10">
        <f>Transactions01[[#This Row],[Actual Amount (EUR)]] - Transactions01[[#This Row],[Projected Amount (EUR)]]</f>
        <v>0</v>
      </c>
      <c r="I51" s="5"/>
      <c r="K51" s="5"/>
    </row>
    <row r="52" spans="1:11" ht="20.100000000000001" customHeight="1" x14ac:dyDescent="0.25">
      <c r="A52" s="10" cm="1">
        <f t="array" ref="A52">CONVERT2EUR(Transactions01[[#This Row],[Projected Currency]], Transactions01[[#This Row],[Projected Amount]])</f>
        <v>0</v>
      </c>
      <c r="B52" s="10" cm="1">
        <f t="array" ref="B52">CONVERT2EUR(Transactions01[[#This Row],[Actual Currency]], Transactions01[[#This Row],[Actual Amount]])</f>
        <v>0</v>
      </c>
      <c r="C52" s="10">
        <f>Transactions01[[#This Row],[Actual Amount (EUR)]] - Transactions01[[#This Row],[Projected Amount (EUR)]]</f>
        <v>0</v>
      </c>
      <c r="I52" s="5"/>
      <c r="K52" s="5"/>
    </row>
    <row r="53" spans="1:11" ht="20.100000000000001" customHeight="1" x14ac:dyDescent="0.25">
      <c r="A53" s="10" cm="1">
        <f t="array" ref="A53">CONVERT2EUR(Transactions01[[#This Row],[Projected Currency]], Transactions01[[#This Row],[Projected Amount]])</f>
        <v>0</v>
      </c>
      <c r="B53" s="10" cm="1">
        <f t="array" ref="B53">CONVERT2EUR(Transactions01[[#This Row],[Actual Currency]], Transactions01[[#This Row],[Actual Amount]])</f>
        <v>0</v>
      </c>
      <c r="C53" s="10">
        <f>Transactions01[[#This Row],[Actual Amount (EUR)]] - Transactions01[[#This Row],[Projected Amount (EUR)]]</f>
        <v>0</v>
      </c>
      <c r="I53" s="5"/>
      <c r="K53" s="5"/>
    </row>
    <row r="54" spans="1:11" ht="20.100000000000001" customHeight="1" x14ac:dyDescent="0.25">
      <c r="A54" s="10" cm="1">
        <f t="array" ref="A54">CONVERT2EUR(Transactions01[[#This Row],[Projected Currency]], Transactions01[[#This Row],[Projected Amount]])</f>
        <v>0</v>
      </c>
      <c r="B54" s="10" cm="1">
        <f t="array" ref="B54">CONVERT2EUR(Transactions01[[#This Row],[Actual Currency]], Transactions01[[#This Row],[Actual Amount]])</f>
        <v>0</v>
      </c>
      <c r="C54" s="10">
        <f>Transactions01[[#This Row],[Actual Amount (EUR)]] - Transactions01[[#This Row],[Projected Amount (EUR)]]</f>
        <v>0</v>
      </c>
      <c r="I54" s="5"/>
      <c r="K54" s="5"/>
    </row>
    <row r="55" spans="1:11" ht="20.100000000000001" customHeight="1" x14ac:dyDescent="0.25">
      <c r="A55" s="10" cm="1">
        <f t="array" ref="A55">CONVERT2EUR(Transactions01[[#This Row],[Projected Currency]], Transactions01[[#This Row],[Projected Amount]])</f>
        <v>0</v>
      </c>
      <c r="B55" s="10" cm="1">
        <f t="array" ref="B55">CONVERT2EUR(Transactions01[[#This Row],[Actual Currency]], Transactions01[[#This Row],[Actual Amount]])</f>
        <v>0</v>
      </c>
      <c r="C55" s="10">
        <f>Transactions01[[#This Row],[Actual Amount (EUR)]] - Transactions01[[#This Row],[Projected Amount (EUR)]]</f>
        <v>0</v>
      </c>
      <c r="I55" s="5"/>
      <c r="K55" s="5"/>
    </row>
    <row r="56" spans="1:11" ht="20.100000000000001" customHeight="1" x14ac:dyDescent="0.25">
      <c r="A56" s="10" cm="1">
        <f t="array" ref="A56">CONVERT2EUR(Transactions01[[#This Row],[Projected Currency]], Transactions01[[#This Row],[Projected Amount]])</f>
        <v>0</v>
      </c>
      <c r="B56" s="10" cm="1">
        <f t="array" ref="B56">CONVERT2EUR(Transactions01[[#This Row],[Actual Currency]], Transactions01[[#This Row],[Actual Amount]])</f>
        <v>0</v>
      </c>
      <c r="C56" s="10">
        <f>Transactions01[[#This Row],[Actual Amount (EUR)]] - Transactions01[[#This Row],[Projected Amount (EUR)]]</f>
        <v>0</v>
      </c>
      <c r="I56" s="5"/>
      <c r="K56" s="5"/>
    </row>
    <row r="57" spans="1:11" ht="20.100000000000001" customHeight="1" x14ac:dyDescent="0.25">
      <c r="A57" s="10" cm="1">
        <f t="array" ref="A57">CONVERT2EUR(Transactions01[[#This Row],[Projected Currency]], Transactions01[[#This Row],[Projected Amount]])</f>
        <v>0</v>
      </c>
      <c r="B57" s="10" cm="1">
        <f t="array" ref="B57">CONVERT2EUR(Transactions01[[#This Row],[Actual Currency]], Transactions01[[#This Row],[Actual Amount]])</f>
        <v>0</v>
      </c>
      <c r="C57" s="10">
        <f>Transactions01[[#This Row],[Actual Amount (EUR)]] - Transactions01[[#This Row],[Projected Amount (EUR)]]</f>
        <v>0</v>
      </c>
      <c r="I57" s="5"/>
      <c r="K57" s="5"/>
    </row>
    <row r="58" spans="1:11" ht="20.100000000000001" customHeight="1" x14ac:dyDescent="0.25">
      <c r="A58" s="10" cm="1">
        <f t="array" ref="A58">CONVERT2EUR(Transactions01[[#This Row],[Projected Currency]], Transactions01[[#This Row],[Projected Amount]])</f>
        <v>0</v>
      </c>
      <c r="B58" s="10" cm="1">
        <f t="array" ref="B58">CONVERT2EUR(Transactions01[[#This Row],[Actual Currency]], Transactions01[[#This Row],[Actual Amount]])</f>
        <v>0</v>
      </c>
      <c r="C58" s="10">
        <f>Transactions01[[#This Row],[Actual Amount (EUR)]] - Transactions01[[#This Row],[Projected Amount (EUR)]]</f>
        <v>0</v>
      </c>
      <c r="I58" s="5"/>
      <c r="K58" s="5"/>
    </row>
    <row r="59" spans="1:11" ht="20.100000000000001" customHeight="1" x14ac:dyDescent="0.25">
      <c r="A59" s="10" cm="1">
        <f t="array" ref="A59">CONVERT2EUR(Transactions01[[#This Row],[Projected Currency]], Transactions01[[#This Row],[Projected Amount]])</f>
        <v>0</v>
      </c>
      <c r="B59" s="10" cm="1">
        <f t="array" ref="B59">CONVERT2EUR(Transactions01[[#This Row],[Actual Currency]], Transactions01[[#This Row],[Actual Amount]])</f>
        <v>0</v>
      </c>
      <c r="C59" s="10">
        <f>Transactions01[[#This Row],[Actual Amount (EUR)]] - Transactions01[[#This Row],[Projected Amount (EUR)]]</f>
        <v>0</v>
      </c>
      <c r="I59" s="5"/>
      <c r="K59" s="5"/>
    </row>
    <row r="60" spans="1:11" ht="20.100000000000001" customHeight="1" x14ac:dyDescent="0.25">
      <c r="A60" s="10" cm="1">
        <f t="array" ref="A60">CONVERT2EUR(Transactions01[[#This Row],[Projected Currency]], Transactions01[[#This Row],[Projected Amount]])</f>
        <v>0</v>
      </c>
      <c r="B60" s="10" cm="1">
        <f t="array" ref="B60">CONVERT2EUR(Transactions01[[#This Row],[Actual Currency]], Transactions01[[#This Row],[Actual Amount]])</f>
        <v>0</v>
      </c>
      <c r="C60" s="10">
        <f>Transactions01[[#This Row],[Actual Amount (EUR)]] - Transactions01[[#This Row],[Projected Amount (EUR)]]</f>
        <v>0</v>
      </c>
      <c r="I60" s="5"/>
      <c r="K60" s="5"/>
    </row>
    <row r="61" spans="1:11" ht="20.100000000000001" customHeight="1" x14ac:dyDescent="0.25">
      <c r="A61" s="10" cm="1">
        <f t="array" ref="A61">CONVERT2EUR(Transactions01[[#This Row],[Projected Currency]], Transactions01[[#This Row],[Projected Amount]])</f>
        <v>0</v>
      </c>
      <c r="B61" s="10" cm="1">
        <f t="array" ref="B61">CONVERT2EUR(Transactions01[[#This Row],[Actual Currency]], Transactions01[[#This Row],[Actual Amount]])</f>
        <v>0</v>
      </c>
      <c r="C61" s="10">
        <f>Transactions01[[#This Row],[Actual Amount (EUR)]] - Transactions01[[#This Row],[Projected Amount (EUR)]]</f>
        <v>0</v>
      </c>
      <c r="I61" s="5"/>
      <c r="K61" s="5"/>
    </row>
    <row r="62" spans="1:11" ht="20.100000000000001" customHeight="1" x14ac:dyDescent="0.25">
      <c r="A62" s="10" cm="1">
        <f t="array" ref="A62">CONVERT2EUR(Transactions01[[#This Row],[Projected Currency]], Transactions01[[#This Row],[Projected Amount]])</f>
        <v>0</v>
      </c>
      <c r="B62" s="10" cm="1">
        <f t="array" ref="B62">CONVERT2EUR(Transactions01[[#This Row],[Actual Currency]], Transactions01[[#This Row],[Actual Amount]])</f>
        <v>0</v>
      </c>
      <c r="C62" s="10">
        <f>Transactions01[[#This Row],[Actual Amount (EUR)]] - Transactions01[[#This Row],[Projected Amount (EUR)]]</f>
        <v>0</v>
      </c>
      <c r="I62" s="5"/>
      <c r="K62" s="5"/>
    </row>
    <row r="63" spans="1:11" ht="20.100000000000001" customHeight="1" x14ac:dyDescent="0.25">
      <c r="A63" s="10" cm="1">
        <f t="array" ref="A63">CONVERT2EUR(Transactions01[[#This Row],[Projected Currency]], Transactions01[[#This Row],[Projected Amount]])</f>
        <v>0</v>
      </c>
      <c r="B63" s="10" cm="1">
        <f t="array" ref="B63">CONVERT2EUR(Transactions01[[#This Row],[Actual Currency]], Transactions01[[#This Row],[Actual Amount]])</f>
        <v>0</v>
      </c>
      <c r="C63" s="10">
        <f>Transactions01[[#This Row],[Actual Amount (EUR)]] - Transactions01[[#This Row],[Projected Amount (EUR)]]</f>
        <v>0</v>
      </c>
      <c r="I63" s="5"/>
      <c r="K63" s="5"/>
    </row>
    <row r="64" spans="1:11" ht="20.100000000000001" customHeight="1" x14ac:dyDescent="0.25">
      <c r="A64" s="10" cm="1">
        <f t="array" ref="A64">CONVERT2EUR(Transactions01[[#This Row],[Projected Currency]], Transactions01[[#This Row],[Projected Amount]])</f>
        <v>0</v>
      </c>
      <c r="B64" s="10" cm="1">
        <f t="array" ref="B64">CONVERT2EUR(Transactions01[[#This Row],[Actual Currency]], Transactions01[[#This Row],[Actual Amount]])</f>
        <v>0</v>
      </c>
      <c r="C64" s="10">
        <f>Transactions01[[#This Row],[Actual Amount (EUR)]] - Transactions01[[#This Row],[Projected Amount (EUR)]]</f>
        <v>0</v>
      </c>
      <c r="I64" s="5"/>
      <c r="K64" s="5"/>
    </row>
    <row r="65" spans="1:11" ht="20.100000000000001" customHeight="1" x14ac:dyDescent="0.25">
      <c r="A65" s="10" cm="1">
        <f t="array" ref="A65">CONVERT2EUR(Transactions01[[#This Row],[Projected Currency]], Transactions01[[#This Row],[Projected Amount]])</f>
        <v>0</v>
      </c>
      <c r="B65" s="10" cm="1">
        <f t="array" ref="B65">CONVERT2EUR(Transactions01[[#This Row],[Actual Currency]], Transactions01[[#This Row],[Actual Amount]])</f>
        <v>0</v>
      </c>
      <c r="C65" s="10">
        <f>Transactions01[[#This Row],[Actual Amount (EUR)]] - Transactions01[[#This Row],[Projected Amount (EUR)]]</f>
        <v>0</v>
      </c>
      <c r="I65" s="5"/>
      <c r="K65" s="5"/>
    </row>
    <row r="66" spans="1:11" ht="20.100000000000001" customHeight="1" x14ac:dyDescent="0.25">
      <c r="A66" s="10" cm="1">
        <f t="array" ref="A66">CONVERT2EUR(Transactions01[[#This Row],[Projected Currency]], Transactions01[[#This Row],[Projected Amount]])</f>
        <v>0</v>
      </c>
      <c r="B66" s="10" cm="1">
        <f t="array" ref="B66">CONVERT2EUR(Transactions01[[#This Row],[Actual Currency]], Transactions01[[#This Row],[Actual Amount]])</f>
        <v>0</v>
      </c>
      <c r="C66" s="10">
        <f>Transactions01[[#This Row],[Actual Amount (EUR)]] - Transactions01[[#This Row],[Projected Amount (EUR)]]</f>
        <v>0</v>
      </c>
      <c r="I66" s="5"/>
      <c r="K66" s="5"/>
    </row>
    <row r="67" spans="1:11" ht="20.100000000000001" customHeight="1" x14ac:dyDescent="0.25">
      <c r="A67" s="10" cm="1">
        <f t="array" ref="A67">CONVERT2EUR(Transactions01[[#This Row],[Projected Currency]], Transactions01[[#This Row],[Projected Amount]])</f>
        <v>0</v>
      </c>
      <c r="B67" s="10" cm="1">
        <f t="array" ref="B67">CONVERT2EUR(Transactions01[[#This Row],[Actual Currency]], Transactions01[[#This Row],[Actual Amount]])</f>
        <v>0</v>
      </c>
      <c r="C67" s="10">
        <f>Transactions01[[#This Row],[Actual Amount (EUR)]] - Transactions01[[#This Row],[Projected Amount (EUR)]]</f>
        <v>0</v>
      </c>
      <c r="I67" s="5"/>
      <c r="K67" s="5"/>
    </row>
    <row r="68" spans="1:11" ht="20.100000000000001" customHeight="1" x14ac:dyDescent="0.25">
      <c r="A68" s="10" cm="1">
        <f t="array" ref="A68">CONVERT2EUR(Transactions01[[#This Row],[Projected Currency]], Transactions01[[#This Row],[Projected Amount]])</f>
        <v>0</v>
      </c>
      <c r="B68" s="10" cm="1">
        <f t="array" ref="B68">CONVERT2EUR(Transactions01[[#This Row],[Actual Currency]], Transactions01[[#This Row],[Actual Amount]])</f>
        <v>0</v>
      </c>
      <c r="C68" s="10">
        <f>Transactions01[[#This Row],[Actual Amount (EUR)]] - Transactions01[[#This Row],[Projected Amount (EUR)]]</f>
        <v>0</v>
      </c>
      <c r="I68" s="5"/>
      <c r="K68" s="5"/>
    </row>
    <row r="69" spans="1:11" ht="20.100000000000001" customHeight="1" x14ac:dyDescent="0.25">
      <c r="A69" s="10" cm="1">
        <f t="array" ref="A69">CONVERT2EUR(Transactions01[[#This Row],[Projected Currency]], Transactions01[[#This Row],[Projected Amount]])</f>
        <v>0</v>
      </c>
      <c r="B69" s="10" cm="1">
        <f t="array" ref="B69">CONVERT2EUR(Transactions01[[#This Row],[Actual Currency]], Transactions01[[#This Row],[Actual Amount]])</f>
        <v>0</v>
      </c>
      <c r="C69" s="10">
        <f>Transactions01[[#This Row],[Actual Amount (EUR)]] - Transactions01[[#This Row],[Projected Amount (EUR)]]</f>
        <v>0</v>
      </c>
      <c r="I69" s="5"/>
      <c r="K69" s="5"/>
    </row>
    <row r="70" spans="1:11" ht="20.100000000000001" customHeight="1" x14ac:dyDescent="0.25">
      <c r="A70" s="10" cm="1">
        <f t="array" ref="A70">CONVERT2EUR(Transactions01[[#This Row],[Projected Currency]], Transactions01[[#This Row],[Projected Amount]])</f>
        <v>0</v>
      </c>
      <c r="B70" s="10" cm="1">
        <f t="array" ref="B70">CONVERT2EUR(Transactions01[[#This Row],[Actual Currency]], Transactions01[[#This Row],[Actual Amount]])</f>
        <v>0</v>
      </c>
      <c r="C70" s="10">
        <f>Transactions01[[#This Row],[Actual Amount (EUR)]] - Transactions01[[#This Row],[Projected Amount (EUR)]]</f>
        <v>0</v>
      </c>
      <c r="I70" s="5"/>
      <c r="K70" s="5"/>
    </row>
    <row r="71" spans="1:11" ht="20.100000000000001" customHeight="1" x14ac:dyDescent="0.25">
      <c r="A71" s="10" cm="1">
        <f t="array" ref="A71">CONVERT2EUR(Transactions01[[#This Row],[Projected Currency]], Transactions01[[#This Row],[Projected Amount]])</f>
        <v>0</v>
      </c>
      <c r="B71" s="10" cm="1">
        <f t="array" ref="B71">CONVERT2EUR(Transactions01[[#This Row],[Actual Currency]], Transactions01[[#This Row],[Actual Amount]])</f>
        <v>0</v>
      </c>
      <c r="C71" s="10">
        <f>Transactions01[[#This Row],[Actual Amount (EUR)]] - Transactions01[[#This Row],[Projected Amount (EUR)]]</f>
        <v>0</v>
      </c>
      <c r="I71" s="5"/>
      <c r="K71" s="5"/>
    </row>
    <row r="72" spans="1:11" ht="20.100000000000001" customHeight="1" x14ac:dyDescent="0.25">
      <c r="A72" s="10" cm="1">
        <f t="array" ref="A72">CONVERT2EUR(Transactions01[[#This Row],[Projected Currency]], Transactions01[[#This Row],[Projected Amount]])</f>
        <v>0</v>
      </c>
      <c r="B72" s="10" cm="1">
        <f t="array" ref="B72">CONVERT2EUR(Transactions01[[#This Row],[Actual Currency]], Transactions01[[#This Row],[Actual Amount]])</f>
        <v>0</v>
      </c>
      <c r="C72" s="10">
        <f>Transactions01[[#This Row],[Actual Amount (EUR)]] - Transactions01[[#This Row],[Projected Amount (EUR)]]</f>
        <v>0</v>
      </c>
      <c r="I72" s="5"/>
      <c r="K72" s="5"/>
    </row>
    <row r="73" spans="1:11" ht="20.100000000000001" customHeight="1" x14ac:dyDescent="0.25">
      <c r="A73" s="10" cm="1">
        <f t="array" ref="A73">CONVERT2EUR(Transactions01[[#This Row],[Projected Currency]], Transactions01[[#This Row],[Projected Amount]])</f>
        <v>0</v>
      </c>
      <c r="B73" s="10" cm="1">
        <f t="array" ref="B73">CONVERT2EUR(Transactions01[[#This Row],[Actual Currency]], Transactions01[[#This Row],[Actual Amount]])</f>
        <v>0</v>
      </c>
      <c r="C73" s="10">
        <f>Transactions01[[#This Row],[Actual Amount (EUR)]] - Transactions01[[#This Row],[Projected Amount (EUR)]]</f>
        <v>0</v>
      </c>
      <c r="I73" s="5"/>
      <c r="K73" s="5"/>
    </row>
    <row r="74" spans="1:11" ht="20.100000000000001" customHeight="1" x14ac:dyDescent="0.25">
      <c r="A74" s="10" cm="1">
        <f t="array" ref="A74">CONVERT2EUR(Transactions01[[#This Row],[Projected Currency]], Transactions01[[#This Row],[Projected Amount]])</f>
        <v>0</v>
      </c>
      <c r="B74" s="10" cm="1">
        <f t="array" ref="B74">CONVERT2EUR(Transactions01[[#This Row],[Actual Currency]], Transactions01[[#This Row],[Actual Amount]])</f>
        <v>0</v>
      </c>
      <c r="C74" s="10">
        <f>Transactions01[[#This Row],[Actual Amount (EUR)]] - Transactions01[[#This Row],[Projected Amount (EUR)]]</f>
        <v>0</v>
      </c>
      <c r="I74" s="5"/>
      <c r="K74" s="5"/>
    </row>
    <row r="75" spans="1:11" ht="20.100000000000001" customHeight="1" x14ac:dyDescent="0.25">
      <c r="A75" s="10" cm="1">
        <f t="array" ref="A75">CONVERT2EUR(Transactions01[[#This Row],[Projected Currency]], Transactions01[[#This Row],[Projected Amount]])</f>
        <v>0</v>
      </c>
      <c r="B75" s="10" cm="1">
        <f t="array" ref="B75">CONVERT2EUR(Transactions01[[#This Row],[Actual Currency]], Transactions01[[#This Row],[Actual Amount]])</f>
        <v>0</v>
      </c>
      <c r="C75" s="10">
        <f>Transactions01[[#This Row],[Actual Amount (EUR)]] - Transactions01[[#This Row],[Projected Amount (EUR)]]</f>
        <v>0</v>
      </c>
      <c r="I75" s="5"/>
      <c r="K75" s="5"/>
    </row>
    <row r="76" spans="1:11" ht="20.100000000000001" customHeight="1" x14ac:dyDescent="0.25">
      <c r="A76" s="10" cm="1">
        <f t="array" ref="A76">CONVERT2EUR(Transactions01[[#This Row],[Projected Currency]], Transactions01[[#This Row],[Projected Amount]])</f>
        <v>0</v>
      </c>
      <c r="B76" s="10" cm="1">
        <f t="array" ref="B76">CONVERT2EUR(Transactions01[[#This Row],[Actual Currency]], Transactions01[[#This Row],[Actual Amount]])</f>
        <v>0</v>
      </c>
      <c r="C76" s="10">
        <f>Transactions01[[#This Row],[Actual Amount (EUR)]] - Transactions01[[#This Row],[Projected Amount (EUR)]]</f>
        <v>0</v>
      </c>
      <c r="I76" s="5"/>
      <c r="K76" s="5"/>
    </row>
    <row r="77" spans="1:11" ht="20.100000000000001" customHeight="1" x14ac:dyDescent="0.25">
      <c r="A77" s="10" cm="1">
        <f t="array" ref="A77">CONVERT2EUR(Transactions01[[#This Row],[Projected Currency]], Transactions01[[#This Row],[Projected Amount]])</f>
        <v>0</v>
      </c>
      <c r="B77" s="10" cm="1">
        <f t="array" ref="B77">CONVERT2EUR(Transactions01[[#This Row],[Actual Currency]], Transactions01[[#This Row],[Actual Amount]])</f>
        <v>0</v>
      </c>
      <c r="C77" s="10">
        <f>Transactions01[[#This Row],[Actual Amount (EUR)]] - Transactions01[[#This Row],[Projected Amount (EUR)]]</f>
        <v>0</v>
      </c>
      <c r="I77" s="5"/>
      <c r="K77" s="5"/>
    </row>
    <row r="78" spans="1:11" ht="20.100000000000001" customHeight="1" x14ac:dyDescent="0.25">
      <c r="A78" s="10" cm="1">
        <f t="array" ref="A78">CONVERT2EUR(Transactions01[[#This Row],[Projected Currency]], Transactions01[[#This Row],[Projected Amount]])</f>
        <v>0</v>
      </c>
      <c r="B78" s="10" cm="1">
        <f t="array" ref="B78">CONVERT2EUR(Transactions01[[#This Row],[Actual Currency]], Transactions01[[#This Row],[Actual Amount]])</f>
        <v>0</v>
      </c>
      <c r="C78" s="10">
        <f>Transactions01[[#This Row],[Actual Amount (EUR)]] - Transactions01[[#This Row],[Projected Amount (EUR)]]</f>
        <v>0</v>
      </c>
      <c r="I78" s="5"/>
      <c r="K78" s="5"/>
    </row>
    <row r="79" spans="1:11" ht="20.100000000000001" customHeight="1" x14ac:dyDescent="0.25">
      <c r="A79" s="10" cm="1">
        <f t="array" ref="A79">CONVERT2EUR(Transactions01[[#This Row],[Projected Currency]], Transactions01[[#This Row],[Projected Amount]])</f>
        <v>0</v>
      </c>
      <c r="B79" s="10" cm="1">
        <f t="array" ref="B79">CONVERT2EUR(Transactions01[[#This Row],[Actual Currency]], Transactions01[[#This Row],[Actual Amount]])</f>
        <v>0</v>
      </c>
      <c r="C79" s="10">
        <f>Transactions01[[#This Row],[Actual Amount (EUR)]] - Transactions01[[#This Row],[Projected Amount (EUR)]]</f>
        <v>0</v>
      </c>
      <c r="I79" s="5"/>
      <c r="K79" s="5"/>
    </row>
    <row r="80" spans="1:11" ht="20.100000000000001" customHeight="1" x14ac:dyDescent="0.25">
      <c r="A80" s="10" cm="1">
        <f t="array" ref="A80">CONVERT2EUR(Transactions01[[#This Row],[Projected Currency]], Transactions01[[#This Row],[Projected Amount]])</f>
        <v>0</v>
      </c>
      <c r="B80" s="10" cm="1">
        <f t="array" ref="B80">CONVERT2EUR(Transactions01[[#This Row],[Actual Currency]], Transactions01[[#This Row],[Actual Amount]])</f>
        <v>0</v>
      </c>
      <c r="C80" s="10">
        <f>Transactions01[[#This Row],[Actual Amount (EUR)]] - Transactions01[[#This Row],[Projected Amount (EUR)]]</f>
        <v>0</v>
      </c>
      <c r="I80" s="5"/>
      <c r="K80" s="5"/>
    </row>
    <row r="81" spans="1:11" ht="20.100000000000001" customHeight="1" x14ac:dyDescent="0.25">
      <c r="A81" s="10" cm="1">
        <f t="array" ref="A81">CONVERT2EUR(Transactions01[[#This Row],[Projected Currency]], Transactions01[[#This Row],[Projected Amount]])</f>
        <v>0</v>
      </c>
      <c r="B81" s="10" cm="1">
        <f t="array" ref="B81">CONVERT2EUR(Transactions01[[#This Row],[Actual Currency]], Transactions01[[#This Row],[Actual Amount]])</f>
        <v>0</v>
      </c>
      <c r="C81" s="10">
        <f>Transactions01[[#This Row],[Actual Amount (EUR)]] - Transactions01[[#This Row],[Projected Amount (EUR)]]</f>
        <v>0</v>
      </c>
      <c r="I81" s="5"/>
      <c r="K81" s="5"/>
    </row>
    <row r="82" spans="1:11" ht="20.100000000000001" customHeight="1" x14ac:dyDescent="0.25">
      <c r="A82" s="10" cm="1">
        <f t="array" ref="A82">CONVERT2EUR(Transactions01[[#This Row],[Projected Currency]], Transactions01[[#This Row],[Projected Amount]])</f>
        <v>0</v>
      </c>
      <c r="B82" s="10" cm="1">
        <f t="array" ref="B82">CONVERT2EUR(Transactions01[[#This Row],[Actual Currency]], Transactions01[[#This Row],[Actual Amount]])</f>
        <v>0</v>
      </c>
      <c r="C82" s="10">
        <f>Transactions01[[#This Row],[Actual Amount (EUR)]] - Transactions01[[#This Row],[Projected Amount (EUR)]]</f>
        <v>0</v>
      </c>
      <c r="I82" s="5"/>
      <c r="K82" s="5"/>
    </row>
    <row r="83" spans="1:11" ht="20.100000000000001" customHeight="1" x14ac:dyDescent="0.25">
      <c r="A83" s="10" cm="1">
        <f t="array" ref="A83">CONVERT2EUR(Transactions01[[#This Row],[Projected Currency]], Transactions01[[#This Row],[Projected Amount]])</f>
        <v>0</v>
      </c>
      <c r="B83" s="10" cm="1">
        <f t="array" ref="B83">CONVERT2EUR(Transactions01[[#This Row],[Actual Currency]], Transactions01[[#This Row],[Actual Amount]])</f>
        <v>0</v>
      </c>
      <c r="C83" s="10">
        <f>Transactions01[[#This Row],[Actual Amount (EUR)]] - Transactions01[[#This Row],[Projected Amount (EUR)]]</f>
        <v>0</v>
      </c>
      <c r="I83" s="5"/>
      <c r="K83" s="5"/>
    </row>
    <row r="84" spans="1:11" ht="20.100000000000001" customHeight="1" x14ac:dyDescent="0.25">
      <c r="A84" s="10" cm="1">
        <f t="array" ref="A84">CONVERT2EUR(Transactions01[[#This Row],[Projected Currency]], Transactions01[[#This Row],[Projected Amount]])</f>
        <v>0</v>
      </c>
      <c r="B84" s="10" cm="1">
        <f t="array" ref="B84">CONVERT2EUR(Transactions01[[#This Row],[Actual Currency]], Transactions01[[#This Row],[Actual Amount]])</f>
        <v>0</v>
      </c>
      <c r="C84" s="10">
        <f>Transactions01[[#This Row],[Actual Amount (EUR)]] - Transactions01[[#This Row],[Projected Amount (EUR)]]</f>
        <v>0</v>
      </c>
      <c r="I84" s="5"/>
      <c r="K84" s="5"/>
    </row>
    <row r="85" spans="1:11" ht="20.100000000000001" customHeight="1" x14ac:dyDescent="0.25">
      <c r="A85" s="10" cm="1">
        <f t="array" ref="A85">CONVERT2EUR(Transactions01[[#This Row],[Projected Currency]], Transactions01[[#This Row],[Projected Amount]])</f>
        <v>0</v>
      </c>
      <c r="B85" s="10" cm="1">
        <f t="array" ref="B85">CONVERT2EUR(Transactions01[[#This Row],[Actual Currency]], Transactions01[[#This Row],[Actual Amount]])</f>
        <v>0</v>
      </c>
      <c r="C85" s="10">
        <f>Transactions01[[#This Row],[Actual Amount (EUR)]] - Transactions01[[#This Row],[Projected Amount (EUR)]]</f>
        <v>0</v>
      </c>
      <c r="I85" s="5"/>
      <c r="K85" s="5"/>
    </row>
    <row r="86" spans="1:11" ht="20.100000000000001" customHeight="1" x14ac:dyDescent="0.25">
      <c r="A86" s="10" cm="1">
        <f t="array" ref="A86">CONVERT2EUR(Transactions01[[#This Row],[Projected Currency]], Transactions01[[#This Row],[Projected Amount]])</f>
        <v>0</v>
      </c>
      <c r="B86" s="10" cm="1">
        <f t="array" ref="B86">CONVERT2EUR(Transactions01[[#This Row],[Actual Currency]], Transactions01[[#This Row],[Actual Amount]])</f>
        <v>0</v>
      </c>
      <c r="C86" s="10">
        <f>Transactions01[[#This Row],[Actual Amount (EUR)]] - Transactions01[[#This Row],[Projected Amount (EUR)]]</f>
        <v>0</v>
      </c>
      <c r="I86" s="5"/>
      <c r="K86" s="5"/>
    </row>
    <row r="87" spans="1:11" ht="20.100000000000001" customHeight="1" x14ac:dyDescent="0.25">
      <c r="A87" s="10" cm="1">
        <f t="array" ref="A87">CONVERT2EUR(Transactions01[[#This Row],[Projected Currency]], Transactions01[[#This Row],[Projected Amount]])</f>
        <v>0</v>
      </c>
      <c r="B87" s="10" cm="1">
        <f t="array" ref="B87">CONVERT2EUR(Transactions01[[#This Row],[Actual Currency]], Transactions01[[#This Row],[Actual Amount]])</f>
        <v>0</v>
      </c>
      <c r="C87" s="10">
        <f>Transactions01[[#This Row],[Actual Amount (EUR)]] - Transactions01[[#This Row],[Projected Amount (EUR)]]</f>
        <v>0</v>
      </c>
      <c r="I87" s="5"/>
      <c r="K87" s="5"/>
    </row>
    <row r="88" spans="1:11" ht="20.100000000000001" customHeight="1" x14ac:dyDescent="0.25">
      <c r="A88" s="10" cm="1">
        <f t="array" ref="A88">CONVERT2EUR(Transactions01[[#This Row],[Projected Currency]], Transactions01[[#This Row],[Projected Amount]])</f>
        <v>0</v>
      </c>
      <c r="B88" s="10" cm="1">
        <f t="array" ref="B88">CONVERT2EUR(Transactions01[[#This Row],[Actual Currency]], Transactions01[[#This Row],[Actual Amount]])</f>
        <v>0</v>
      </c>
      <c r="C88" s="10">
        <f>Transactions01[[#This Row],[Actual Amount (EUR)]] - Transactions01[[#This Row],[Projected Amount (EUR)]]</f>
        <v>0</v>
      </c>
      <c r="I88" s="5"/>
      <c r="K88" s="5"/>
    </row>
    <row r="89" spans="1:11" ht="20.100000000000001" customHeight="1" x14ac:dyDescent="0.25">
      <c r="A89" s="10" cm="1">
        <f t="array" ref="A89">CONVERT2EUR(Transactions01[[#This Row],[Projected Currency]], Transactions01[[#This Row],[Projected Amount]])</f>
        <v>0</v>
      </c>
      <c r="B89" s="10" cm="1">
        <f t="array" ref="B89">CONVERT2EUR(Transactions01[[#This Row],[Actual Currency]], Transactions01[[#This Row],[Actual Amount]])</f>
        <v>0</v>
      </c>
      <c r="C89" s="10">
        <f>Transactions01[[#This Row],[Actual Amount (EUR)]] - Transactions01[[#This Row],[Projected Amount (EUR)]]</f>
        <v>0</v>
      </c>
      <c r="I89" s="5"/>
      <c r="K89" s="5"/>
    </row>
    <row r="90" spans="1:11" ht="20.100000000000001" customHeight="1" x14ac:dyDescent="0.25">
      <c r="A90" s="10" cm="1">
        <f t="array" ref="A90">CONVERT2EUR(Transactions01[[#This Row],[Projected Currency]], Transactions01[[#This Row],[Projected Amount]])</f>
        <v>0</v>
      </c>
      <c r="B90" s="10" cm="1">
        <f t="array" ref="B90">CONVERT2EUR(Transactions01[[#This Row],[Actual Currency]], Transactions01[[#This Row],[Actual Amount]])</f>
        <v>0</v>
      </c>
      <c r="C90" s="10">
        <f>Transactions01[[#This Row],[Actual Amount (EUR)]] - Transactions01[[#This Row],[Projected Amount (EUR)]]</f>
        <v>0</v>
      </c>
      <c r="I90" s="5"/>
      <c r="K90" s="5"/>
    </row>
    <row r="91" spans="1:11" ht="20.100000000000001" customHeight="1" x14ac:dyDescent="0.25">
      <c r="A91" s="10" cm="1">
        <f t="array" ref="A91">CONVERT2EUR(Transactions01[[#This Row],[Projected Currency]], Transactions01[[#This Row],[Projected Amount]])</f>
        <v>0</v>
      </c>
      <c r="B91" s="10" cm="1">
        <f t="array" ref="B91">CONVERT2EUR(Transactions01[[#This Row],[Actual Currency]], Transactions01[[#This Row],[Actual Amount]])</f>
        <v>0</v>
      </c>
      <c r="C91" s="10">
        <f>Transactions01[[#This Row],[Actual Amount (EUR)]] - Transactions01[[#This Row],[Projected Amount (EUR)]]</f>
        <v>0</v>
      </c>
      <c r="I91" s="5"/>
      <c r="K91" s="5"/>
    </row>
    <row r="92" spans="1:11" ht="20.100000000000001" customHeight="1" x14ac:dyDescent="0.25">
      <c r="A92" s="10" cm="1">
        <f t="array" ref="A92">CONVERT2EUR(Transactions01[[#This Row],[Projected Currency]], Transactions01[[#This Row],[Projected Amount]])</f>
        <v>0</v>
      </c>
      <c r="B92" s="10" cm="1">
        <f t="array" ref="B92">CONVERT2EUR(Transactions01[[#This Row],[Actual Currency]], Transactions01[[#This Row],[Actual Amount]])</f>
        <v>0</v>
      </c>
      <c r="C92" s="10">
        <f>Transactions01[[#This Row],[Actual Amount (EUR)]] - Transactions01[[#This Row],[Projected Amount (EUR)]]</f>
        <v>0</v>
      </c>
      <c r="I92" s="5"/>
      <c r="K92" s="5"/>
    </row>
    <row r="93" spans="1:11" ht="20.100000000000001" customHeight="1" x14ac:dyDescent="0.25">
      <c r="A93" s="10" cm="1">
        <f t="array" ref="A93">CONVERT2EUR(Transactions01[[#This Row],[Projected Currency]], Transactions01[[#This Row],[Projected Amount]])</f>
        <v>0</v>
      </c>
      <c r="B93" s="10" cm="1">
        <f t="array" ref="B93">CONVERT2EUR(Transactions01[[#This Row],[Actual Currency]], Transactions01[[#This Row],[Actual Amount]])</f>
        <v>0</v>
      </c>
      <c r="C93" s="10">
        <f>Transactions01[[#This Row],[Actual Amount (EUR)]] - Transactions01[[#This Row],[Projected Amount (EUR)]]</f>
        <v>0</v>
      </c>
      <c r="I93" s="5"/>
      <c r="K93" s="5"/>
    </row>
    <row r="94" spans="1:11" ht="20.100000000000001" customHeight="1" x14ac:dyDescent="0.25">
      <c r="A94" s="10" cm="1">
        <f t="array" ref="A94">CONVERT2EUR(Transactions01[[#This Row],[Projected Currency]], Transactions01[[#This Row],[Projected Amount]])</f>
        <v>0</v>
      </c>
      <c r="B94" s="10" cm="1">
        <f t="array" ref="B94">CONVERT2EUR(Transactions01[[#This Row],[Actual Currency]], Transactions01[[#This Row],[Actual Amount]])</f>
        <v>0</v>
      </c>
      <c r="C94" s="10">
        <f>Transactions01[[#This Row],[Actual Amount (EUR)]] - Transactions01[[#This Row],[Projected Amount (EUR)]]</f>
        <v>0</v>
      </c>
      <c r="I94" s="5"/>
      <c r="K94" s="5"/>
    </row>
    <row r="95" spans="1:11" ht="20.100000000000001" customHeight="1" x14ac:dyDescent="0.25">
      <c r="A95" s="10" cm="1">
        <f t="array" ref="A95">CONVERT2EUR(Transactions01[[#This Row],[Projected Currency]], Transactions01[[#This Row],[Projected Amount]])</f>
        <v>0</v>
      </c>
      <c r="B95" s="10" cm="1">
        <f t="array" ref="B95">CONVERT2EUR(Transactions01[[#This Row],[Actual Currency]], Transactions01[[#This Row],[Actual Amount]])</f>
        <v>0</v>
      </c>
      <c r="C95" s="10">
        <f>Transactions01[[#This Row],[Actual Amount (EUR)]] - Transactions01[[#This Row],[Projected Amount (EUR)]]</f>
        <v>0</v>
      </c>
      <c r="I95" s="5"/>
      <c r="K95" s="5"/>
    </row>
    <row r="96" spans="1:11" ht="20.100000000000001" customHeight="1" x14ac:dyDescent="0.25">
      <c r="A96" s="10" cm="1">
        <f t="array" ref="A96">CONVERT2EUR(Transactions01[[#This Row],[Projected Currency]], Transactions01[[#This Row],[Projected Amount]])</f>
        <v>0</v>
      </c>
      <c r="B96" s="10" cm="1">
        <f t="array" ref="B96">CONVERT2EUR(Transactions01[[#This Row],[Actual Currency]], Transactions01[[#This Row],[Actual Amount]])</f>
        <v>0</v>
      </c>
      <c r="C96" s="10">
        <f>Transactions01[[#This Row],[Actual Amount (EUR)]] - Transactions01[[#This Row],[Projected Amount (EUR)]]</f>
        <v>0</v>
      </c>
      <c r="I96" s="5"/>
      <c r="K96" s="5"/>
    </row>
    <row r="97" spans="1:11" ht="20.100000000000001" customHeight="1" x14ac:dyDescent="0.25">
      <c r="A97" s="10" cm="1">
        <f t="array" ref="A97">CONVERT2EUR(Transactions01[[#This Row],[Projected Currency]], Transactions01[[#This Row],[Projected Amount]])</f>
        <v>0</v>
      </c>
      <c r="B97" s="10" cm="1">
        <f t="array" ref="B97">CONVERT2EUR(Transactions01[[#This Row],[Actual Currency]], Transactions01[[#This Row],[Actual Amount]])</f>
        <v>0</v>
      </c>
      <c r="C97" s="10">
        <f>Transactions01[[#This Row],[Actual Amount (EUR)]] - Transactions01[[#This Row],[Projected Amount (EUR)]]</f>
        <v>0</v>
      </c>
      <c r="I97" s="5"/>
      <c r="K97" s="5"/>
    </row>
    <row r="98" spans="1:11" ht="20.100000000000001" customHeight="1" x14ac:dyDescent="0.25">
      <c r="A98" s="10" cm="1">
        <f t="array" ref="A98">CONVERT2EUR(Transactions01[[#This Row],[Projected Currency]], Transactions01[[#This Row],[Projected Amount]])</f>
        <v>0</v>
      </c>
      <c r="B98" s="10" cm="1">
        <f t="array" ref="B98">CONVERT2EUR(Transactions01[[#This Row],[Actual Currency]], Transactions01[[#This Row],[Actual Amount]])</f>
        <v>0</v>
      </c>
      <c r="C98" s="10">
        <f>Transactions01[[#This Row],[Actual Amount (EUR)]] - Transactions01[[#This Row],[Projected Amount (EUR)]]</f>
        <v>0</v>
      </c>
      <c r="I98" s="5"/>
      <c r="K98" s="5"/>
    </row>
    <row r="99" spans="1:11" ht="20.100000000000001" customHeight="1" x14ac:dyDescent="0.25">
      <c r="A99" s="10" cm="1">
        <f t="array" ref="A99">CONVERT2EUR(Transactions01[[#This Row],[Projected Currency]], Transactions01[[#This Row],[Projected Amount]])</f>
        <v>0</v>
      </c>
      <c r="B99" s="10" cm="1">
        <f t="array" ref="B99">CONVERT2EUR(Transactions01[[#This Row],[Actual Currency]], Transactions01[[#This Row],[Actual Amount]])</f>
        <v>0</v>
      </c>
      <c r="C99" s="10">
        <f>Transactions01[[#This Row],[Actual Amount (EUR)]] - Transactions01[[#This Row],[Projected Amount (EUR)]]</f>
        <v>0</v>
      </c>
      <c r="I99" s="5"/>
      <c r="K99" s="5"/>
    </row>
    <row r="100" spans="1:11" ht="20.100000000000001" customHeight="1" x14ac:dyDescent="0.25">
      <c r="A100" s="10" cm="1">
        <f t="array" ref="A100">CONVERT2EUR(Transactions01[[#This Row],[Projected Currency]], Transactions01[[#This Row],[Projected Amount]])</f>
        <v>0</v>
      </c>
      <c r="B100" s="10" cm="1">
        <f t="array" ref="B100">CONVERT2EUR(Transactions01[[#This Row],[Actual Currency]], Transactions01[[#This Row],[Actual Amount]])</f>
        <v>0</v>
      </c>
      <c r="C100" s="10">
        <f>Transactions01[[#This Row],[Actual Amount (EUR)]] - Transactions01[[#This Row],[Projected Amount (EUR)]]</f>
        <v>0</v>
      </c>
      <c r="I100" s="5"/>
      <c r="K100" s="5"/>
    </row>
    <row r="101" spans="1:11" ht="20.100000000000001" customHeight="1" x14ac:dyDescent="0.25">
      <c r="A101" s="10" cm="1">
        <f t="array" ref="A101">CONVERT2EUR(Transactions01[[#This Row],[Projected Currency]], Transactions01[[#This Row],[Projected Amount]])</f>
        <v>0</v>
      </c>
      <c r="B101" s="10" cm="1">
        <f t="array" ref="B101">CONVERT2EUR(Transactions01[[#This Row],[Actual Currency]], Transactions01[[#This Row],[Actual Amount]])</f>
        <v>0</v>
      </c>
      <c r="C101" s="10">
        <f>Transactions01[[#This Row],[Actual Amount (EUR)]] - Transactions01[[#This Row],[Projected Amount (EUR)]]</f>
        <v>0</v>
      </c>
      <c r="I101" s="5"/>
      <c r="K101" s="5"/>
    </row>
    <row r="102" spans="1:11" ht="20.100000000000001" customHeight="1" x14ac:dyDescent="0.25">
      <c r="A102" s="10" cm="1">
        <f t="array" ref="A102">CONVERT2EUR(Transactions01[[#This Row],[Projected Currency]], Transactions01[[#This Row],[Projected Amount]])</f>
        <v>0</v>
      </c>
      <c r="B102" s="10" cm="1">
        <f t="array" ref="B102">CONVERT2EUR(Transactions01[[#This Row],[Actual Currency]], Transactions01[[#This Row],[Actual Amount]])</f>
        <v>0</v>
      </c>
      <c r="C102" s="10">
        <f>Transactions01[[#This Row],[Actual Amount (EUR)]] - Transactions01[[#This Row],[Projected Amount (EUR)]]</f>
        <v>0</v>
      </c>
      <c r="I102" s="5"/>
      <c r="K102" s="5"/>
    </row>
    <row r="103" spans="1:11" ht="20.100000000000001" customHeight="1" x14ac:dyDescent="0.25">
      <c r="A103" s="10" cm="1">
        <f t="array" ref="A103">CONVERT2EUR(Transactions01[[#This Row],[Projected Currency]], Transactions01[[#This Row],[Projected Amount]])</f>
        <v>0</v>
      </c>
      <c r="B103" s="10" cm="1">
        <f t="array" ref="B103">CONVERT2EUR(Transactions01[[#This Row],[Actual Currency]], Transactions01[[#This Row],[Actual Amount]])</f>
        <v>0</v>
      </c>
      <c r="C103" s="10">
        <f>Transactions01[[#This Row],[Actual Amount (EUR)]] - Transactions01[[#This Row],[Projected Amount (EUR)]]</f>
        <v>0</v>
      </c>
      <c r="I103" s="5"/>
      <c r="K103" s="5"/>
    </row>
    <row r="104" spans="1:11" ht="20.100000000000001" customHeight="1" x14ac:dyDescent="0.25">
      <c r="A104" s="10" cm="1">
        <f t="array" ref="A104">CONVERT2EUR(Transactions01[[#This Row],[Projected Currency]], Transactions01[[#This Row],[Projected Amount]])</f>
        <v>0</v>
      </c>
      <c r="B104" s="10" cm="1">
        <f t="array" ref="B104">CONVERT2EUR(Transactions01[[#This Row],[Actual Currency]], Transactions01[[#This Row],[Actual Amount]])</f>
        <v>0</v>
      </c>
      <c r="C104" s="10">
        <f>Transactions01[[#This Row],[Actual Amount (EUR)]] - Transactions01[[#This Row],[Projected Amount (EUR)]]</f>
        <v>0</v>
      </c>
      <c r="I104" s="5"/>
      <c r="K104" s="5"/>
    </row>
    <row r="105" spans="1:11" ht="20.100000000000001" customHeight="1" x14ac:dyDescent="0.25">
      <c r="A105" s="10" cm="1">
        <f t="array" ref="A105">CONVERT2EUR(Transactions01[[#This Row],[Projected Currency]], Transactions01[[#This Row],[Projected Amount]])</f>
        <v>0</v>
      </c>
      <c r="B105" s="10" cm="1">
        <f t="array" ref="B105">CONVERT2EUR(Transactions01[[#This Row],[Actual Currency]], Transactions01[[#This Row],[Actual Amount]])</f>
        <v>0</v>
      </c>
      <c r="C105" s="10">
        <f>Transactions01[[#This Row],[Actual Amount (EUR)]] - Transactions01[[#This Row],[Projected Amount (EUR)]]</f>
        <v>0</v>
      </c>
      <c r="I105" s="5"/>
      <c r="K105" s="5"/>
    </row>
    <row r="106" spans="1:11" ht="20.100000000000001" customHeight="1" x14ac:dyDescent="0.25">
      <c r="A106" s="10" cm="1">
        <f t="array" ref="A106">CONVERT2EUR(Transactions01[[#This Row],[Projected Currency]], Transactions01[[#This Row],[Projected Amount]])</f>
        <v>0</v>
      </c>
      <c r="B106" s="10" cm="1">
        <f t="array" ref="B106">CONVERT2EUR(Transactions01[[#This Row],[Actual Currency]], Transactions01[[#This Row],[Actual Amount]])</f>
        <v>0</v>
      </c>
      <c r="C106" s="10">
        <f>Transactions01[[#This Row],[Actual Amount (EUR)]] - Transactions01[[#This Row],[Projected Amount (EUR)]]</f>
        <v>0</v>
      </c>
      <c r="I106" s="5"/>
      <c r="K106" s="5"/>
    </row>
    <row r="107" spans="1:11" ht="20.100000000000001" customHeight="1" x14ac:dyDescent="0.25">
      <c r="A107" s="10" cm="1">
        <f t="array" ref="A107">CONVERT2EUR(Transactions01[[#This Row],[Projected Currency]], Transactions01[[#This Row],[Projected Amount]])</f>
        <v>0</v>
      </c>
      <c r="B107" s="10" cm="1">
        <f t="array" ref="B107">CONVERT2EUR(Transactions01[[#This Row],[Actual Currency]], Transactions01[[#This Row],[Actual Amount]])</f>
        <v>0</v>
      </c>
      <c r="C107" s="10">
        <f>Transactions01[[#This Row],[Actual Amount (EUR)]] - Transactions01[[#This Row],[Projected Amount (EUR)]]</f>
        <v>0</v>
      </c>
      <c r="I107" s="5"/>
      <c r="K107" s="5"/>
    </row>
    <row r="108" spans="1:11" ht="20.100000000000001" customHeight="1" x14ac:dyDescent="0.25">
      <c r="A108" s="10" cm="1">
        <f t="array" ref="A108">CONVERT2EUR(Transactions01[[#This Row],[Projected Currency]], Transactions01[[#This Row],[Projected Amount]])</f>
        <v>0</v>
      </c>
      <c r="B108" s="10" cm="1">
        <f t="array" ref="B108">CONVERT2EUR(Transactions01[[#This Row],[Actual Currency]], Transactions01[[#This Row],[Actual Amount]])</f>
        <v>0</v>
      </c>
      <c r="C108" s="10">
        <f>Transactions01[[#This Row],[Actual Amount (EUR)]] - Transactions01[[#This Row],[Projected Amount (EUR)]]</f>
        <v>0</v>
      </c>
      <c r="I108" s="5"/>
      <c r="K108" s="5"/>
    </row>
    <row r="109" spans="1:11" ht="20.100000000000001" customHeight="1" x14ac:dyDescent="0.25">
      <c r="A109" s="10" cm="1">
        <f t="array" ref="A109">CONVERT2EUR(Transactions01[[#This Row],[Projected Currency]], Transactions01[[#This Row],[Projected Amount]])</f>
        <v>0</v>
      </c>
      <c r="B109" s="10" cm="1">
        <f t="array" ref="B109">CONVERT2EUR(Transactions01[[#This Row],[Actual Currency]], Transactions01[[#This Row],[Actual Amount]])</f>
        <v>0</v>
      </c>
      <c r="C109" s="10">
        <f>Transactions01[[#This Row],[Actual Amount (EUR)]] - Transactions01[[#This Row],[Projected Amount (EUR)]]</f>
        <v>0</v>
      </c>
      <c r="I109" s="5"/>
      <c r="K109" s="5"/>
    </row>
    <row r="110" spans="1:11" ht="20.100000000000001" customHeight="1" x14ac:dyDescent="0.25">
      <c r="A110" s="10" cm="1">
        <f t="array" ref="A110">CONVERT2EUR(Transactions01[[#This Row],[Projected Currency]], Transactions01[[#This Row],[Projected Amount]])</f>
        <v>0</v>
      </c>
      <c r="B110" s="10" cm="1">
        <f t="array" ref="B110">CONVERT2EUR(Transactions01[[#This Row],[Actual Currency]], Transactions01[[#This Row],[Actual Amount]])</f>
        <v>0</v>
      </c>
      <c r="C110" s="10">
        <f>Transactions01[[#This Row],[Actual Amount (EUR)]] - Transactions01[[#This Row],[Projected Amount (EUR)]]</f>
        <v>0</v>
      </c>
      <c r="I110" s="5"/>
      <c r="K110" s="5"/>
    </row>
    <row r="111" spans="1:11" ht="20.100000000000001" customHeight="1" x14ac:dyDescent="0.25">
      <c r="A111" s="10" cm="1">
        <f t="array" ref="A111">CONVERT2EUR(Transactions01[[#This Row],[Projected Currency]], Transactions01[[#This Row],[Projected Amount]])</f>
        <v>0</v>
      </c>
      <c r="B111" s="10" cm="1">
        <f t="array" ref="B111">CONVERT2EUR(Transactions01[[#This Row],[Actual Currency]], Transactions01[[#This Row],[Actual Amount]])</f>
        <v>0</v>
      </c>
      <c r="C111" s="10">
        <f>Transactions01[[#This Row],[Actual Amount (EUR)]] - Transactions01[[#This Row],[Projected Amount (EUR)]]</f>
        <v>0</v>
      </c>
      <c r="I111" s="5"/>
      <c r="K111" s="5"/>
    </row>
    <row r="112" spans="1:11" ht="20.100000000000001" customHeight="1" x14ac:dyDescent="0.25">
      <c r="A112" s="10" cm="1">
        <f t="array" ref="A112">CONVERT2EUR(Transactions01[[#This Row],[Projected Currency]], Transactions01[[#This Row],[Projected Amount]])</f>
        <v>0</v>
      </c>
      <c r="B112" s="10" cm="1">
        <f t="array" ref="B112">CONVERT2EUR(Transactions01[[#This Row],[Actual Currency]], Transactions01[[#This Row],[Actual Amount]])</f>
        <v>0</v>
      </c>
      <c r="C112" s="10">
        <f>Transactions01[[#This Row],[Actual Amount (EUR)]] - Transactions01[[#This Row],[Projected Amount (EUR)]]</f>
        <v>0</v>
      </c>
      <c r="I112" s="5"/>
      <c r="K112" s="5"/>
    </row>
    <row r="113" spans="1:11" ht="20.100000000000001" customHeight="1" x14ac:dyDescent="0.25">
      <c r="A113" s="10" cm="1">
        <f t="array" ref="A113">CONVERT2EUR(Transactions01[[#This Row],[Projected Currency]], Transactions01[[#This Row],[Projected Amount]])</f>
        <v>0</v>
      </c>
      <c r="B113" s="10" cm="1">
        <f t="array" ref="B113">CONVERT2EUR(Transactions01[[#This Row],[Actual Currency]], Transactions01[[#This Row],[Actual Amount]])</f>
        <v>0</v>
      </c>
      <c r="C113" s="10">
        <f>Transactions01[[#This Row],[Actual Amount (EUR)]] - Transactions01[[#This Row],[Projected Amount (EUR)]]</f>
        <v>0</v>
      </c>
      <c r="I113" s="5"/>
      <c r="K113" s="5"/>
    </row>
    <row r="114" spans="1:11" ht="20.100000000000001" customHeight="1" x14ac:dyDescent="0.25">
      <c r="A114" s="10" cm="1">
        <f t="array" ref="A114">CONVERT2EUR(Transactions01[[#This Row],[Projected Currency]], Transactions01[[#This Row],[Projected Amount]])</f>
        <v>0</v>
      </c>
      <c r="B114" s="10" cm="1">
        <f t="array" ref="B114">CONVERT2EUR(Transactions01[[#This Row],[Actual Currency]], Transactions01[[#This Row],[Actual Amount]])</f>
        <v>0</v>
      </c>
      <c r="C114" s="10">
        <f>Transactions01[[#This Row],[Actual Amount (EUR)]] - Transactions01[[#This Row],[Projected Amount (EUR)]]</f>
        <v>0</v>
      </c>
      <c r="I114" s="5"/>
      <c r="K114" s="5"/>
    </row>
    <row r="115" spans="1:11" ht="20.100000000000001" customHeight="1" x14ac:dyDescent="0.25">
      <c r="A115" s="10" cm="1">
        <f t="array" ref="A115">CONVERT2EUR(Transactions01[[#This Row],[Projected Currency]], Transactions01[[#This Row],[Projected Amount]])</f>
        <v>0</v>
      </c>
      <c r="B115" s="10" cm="1">
        <f t="array" ref="B115">CONVERT2EUR(Transactions01[[#This Row],[Actual Currency]], Transactions01[[#This Row],[Actual Amount]])</f>
        <v>0</v>
      </c>
      <c r="C115" s="10">
        <f>Transactions01[[#This Row],[Actual Amount (EUR)]] - Transactions01[[#This Row],[Projected Amount (EUR)]]</f>
        <v>0</v>
      </c>
      <c r="I115" s="5"/>
      <c r="K115" s="5"/>
    </row>
    <row r="116" spans="1:11" ht="20.100000000000001" customHeight="1" x14ac:dyDescent="0.25">
      <c r="A116" s="10" cm="1">
        <f t="array" ref="A116">CONVERT2EUR(Transactions01[[#This Row],[Projected Currency]], Transactions01[[#This Row],[Projected Amount]])</f>
        <v>0</v>
      </c>
      <c r="B116" s="10" cm="1">
        <f t="array" ref="B116">CONVERT2EUR(Transactions01[[#This Row],[Actual Currency]], Transactions01[[#This Row],[Actual Amount]])</f>
        <v>0</v>
      </c>
      <c r="C116" s="10">
        <f>Transactions01[[#This Row],[Actual Amount (EUR)]] - Transactions01[[#This Row],[Projected Amount (EUR)]]</f>
        <v>0</v>
      </c>
      <c r="I116" s="5"/>
      <c r="K116" s="5"/>
    </row>
    <row r="117" spans="1:11" ht="20.100000000000001" customHeight="1" x14ac:dyDescent="0.25">
      <c r="A117" s="10" cm="1">
        <f t="array" ref="A117">CONVERT2EUR(Transactions01[[#This Row],[Projected Currency]], Transactions01[[#This Row],[Projected Amount]])</f>
        <v>0</v>
      </c>
      <c r="B117" s="10" cm="1">
        <f t="array" ref="B117">CONVERT2EUR(Transactions01[[#This Row],[Actual Currency]], Transactions01[[#This Row],[Actual Amount]])</f>
        <v>0</v>
      </c>
      <c r="C117" s="10">
        <f>Transactions01[[#This Row],[Actual Amount (EUR)]] - Transactions01[[#This Row],[Projected Amount (EUR)]]</f>
        <v>0</v>
      </c>
      <c r="I117" s="5"/>
      <c r="K117" s="5"/>
    </row>
    <row r="118" spans="1:11" ht="20.100000000000001" customHeight="1" x14ac:dyDescent="0.25">
      <c r="A118" s="10" cm="1">
        <f t="array" ref="A118">CONVERT2EUR(Transactions01[[#This Row],[Projected Currency]], Transactions01[[#This Row],[Projected Amount]])</f>
        <v>0</v>
      </c>
      <c r="B118" s="10" cm="1">
        <f t="array" ref="B118">CONVERT2EUR(Transactions01[[#This Row],[Actual Currency]], Transactions01[[#This Row],[Actual Amount]])</f>
        <v>0</v>
      </c>
      <c r="C118" s="10">
        <f>Transactions01[[#This Row],[Actual Amount (EUR)]] - Transactions01[[#This Row],[Projected Amount (EUR)]]</f>
        <v>0</v>
      </c>
      <c r="I118" s="5"/>
      <c r="K118" s="5"/>
    </row>
    <row r="119" spans="1:11" ht="20.100000000000001" customHeight="1" x14ac:dyDescent="0.25">
      <c r="A119" s="10" cm="1">
        <f t="array" ref="A119">CONVERT2EUR(Transactions01[[#This Row],[Projected Currency]], Transactions01[[#This Row],[Projected Amount]])</f>
        <v>0</v>
      </c>
      <c r="B119" s="10" cm="1">
        <f t="array" ref="B119">CONVERT2EUR(Transactions01[[#This Row],[Actual Currency]], Transactions01[[#This Row],[Actual Amount]])</f>
        <v>0</v>
      </c>
      <c r="C119" s="10">
        <f>Transactions01[[#This Row],[Actual Amount (EUR)]] - Transactions01[[#This Row],[Projected Amount (EUR)]]</f>
        <v>0</v>
      </c>
      <c r="I119" s="5"/>
      <c r="K119" s="5"/>
    </row>
    <row r="120" spans="1:11" ht="20.100000000000001" customHeight="1" x14ac:dyDescent="0.25">
      <c r="A120" s="10" cm="1">
        <f t="array" ref="A120">CONVERT2EUR(Transactions01[[#This Row],[Projected Currency]], Transactions01[[#This Row],[Projected Amount]])</f>
        <v>0</v>
      </c>
      <c r="B120" s="10" cm="1">
        <f t="array" ref="B120">CONVERT2EUR(Transactions01[[#This Row],[Actual Currency]], Transactions01[[#This Row],[Actual Amount]])</f>
        <v>0</v>
      </c>
      <c r="C120" s="10">
        <f>Transactions01[[#This Row],[Actual Amount (EUR)]] - Transactions01[[#This Row],[Projected Amount (EUR)]]</f>
        <v>0</v>
      </c>
      <c r="I120" s="5"/>
      <c r="K120" s="5"/>
    </row>
    <row r="121" spans="1:11" ht="20.100000000000001" customHeight="1" x14ac:dyDescent="0.25">
      <c r="A121" s="10" cm="1">
        <f t="array" ref="A121">CONVERT2EUR(Transactions01[[#This Row],[Projected Currency]], Transactions01[[#This Row],[Projected Amount]])</f>
        <v>0</v>
      </c>
      <c r="B121" s="10" cm="1">
        <f t="array" ref="B121">CONVERT2EUR(Transactions01[[#This Row],[Actual Currency]], Transactions01[[#This Row],[Actual Amount]])</f>
        <v>0</v>
      </c>
      <c r="C121" s="10">
        <f>Transactions01[[#This Row],[Actual Amount (EUR)]] - Transactions01[[#This Row],[Projected Amount (EUR)]]</f>
        <v>0</v>
      </c>
      <c r="I121" s="5"/>
      <c r="K121" s="5"/>
    </row>
    <row r="122" spans="1:11" ht="20.100000000000001" customHeight="1" x14ac:dyDescent="0.25">
      <c r="A122" s="10" cm="1">
        <f t="array" ref="A122">CONVERT2EUR(Transactions01[[#This Row],[Projected Currency]], Transactions01[[#This Row],[Projected Amount]])</f>
        <v>0</v>
      </c>
      <c r="B122" s="10" cm="1">
        <f t="array" ref="B122">CONVERT2EUR(Transactions01[[#This Row],[Actual Currency]], Transactions01[[#This Row],[Actual Amount]])</f>
        <v>0</v>
      </c>
      <c r="C122" s="10">
        <f>Transactions01[[#This Row],[Actual Amount (EUR)]] - Transactions01[[#This Row],[Projected Amount (EUR)]]</f>
        <v>0</v>
      </c>
      <c r="I122" s="5"/>
      <c r="K122" s="5"/>
    </row>
    <row r="123" spans="1:11" ht="20.100000000000001" customHeight="1" x14ac:dyDescent="0.25">
      <c r="A123" s="10" cm="1">
        <f t="array" ref="A123">CONVERT2EUR(Transactions01[[#This Row],[Projected Currency]], Transactions01[[#This Row],[Projected Amount]])</f>
        <v>0</v>
      </c>
      <c r="B123" s="10" cm="1">
        <f t="array" ref="B123">CONVERT2EUR(Transactions01[[#This Row],[Actual Currency]], Transactions01[[#This Row],[Actual Amount]])</f>
        <v>0</v>
      </c>
      <c r="C123" s="10">
        <f>Transactions01[[#This Row],[Actual Amount (EUR)]] - Transactions01[[#This Row],[Projected Amount (EUR)]]</f>
        <v>0</v>
      </c>
      <c r="I123" s="5"/>
      <c r="K123" s="5"/>
    </row>
    <row r="124" spans="1:11" ht="20.100000000000001" customHeight="1" x14ac:dyDescent="0.25">
      <c r="A124" s="10" cm="1">
        <f t="array" ref="A124">CONVERT2EUR(Transactions01[[#This Row],[Projected Currency]], Transactions01[[#This Row],[Projected Amount]])</f>
        <v>0</v>
      </c>
      <c r="B124" s="10" cm="1">
        <f t="array" ref="B124">CONVERT2EUR(Transactions01[[#This Row],[Actual Currency]], Transactions01[[#This Row],[Actual Amount]])</f>
        <v>0</v>
      </c>
      <c r="C124" s="10">
        <f>Transactions01[[#This Row],[Actual Amount (EUR)]] - Transactions01[[#This Row],[Projected Amount (EUR)]]</f>
        <v>0</v>
      </c>
      <c r="I124" s="5"/>
      <c r="K124" s="5"/>
    </row>
    <row r="125" spans="1:11" ht="20.100000000000001" customHeight="1" x14ac:dyDescent="0.25">
      <c r="A125" s="10" cm="1">
        <f t="array" ref="A125">CONVERT2EUR(Transactions01[[#This Row],[Projected Currency]], Transactions01[[#This Row],[Projected Amount]])</f>
        <v>0</v>
      </c>
      <c r="B125" s="10" cm="1">
        <f t="array" ref="B125">CONVERT2EUR(Transactions01[[#This Row],[Actual Currency]], Transactions01[[#This Row],[Actual Amount]])</f>
        <v>0</v>
      </c>
      <c r="C125" s="10">
        <f>Transactions01[[#This Row],[Actual Amount (EUR)]] - Transactions01[[#This Row],[Projected Amount (EUR)]]</f>
        <v>0</v>
      </c>
      <c r="I125" s="5"/>
      <c r="K125" s="5"/>
    </row>
    <row r="126" spans="1:11" ht="20.100000000000001" customHeight="1" x14ac:dyDescent="0.25">
      <c r="A126" s="10" cm="1">
        <f t="array" ref="A126">CONVERT2EUR(Transactions01[[#This Row],[Projected Currency]], Transactions01[[#This Row],[Projected Amount]])</f>
        <v>0</v>
      </c>
      <c r="B126" s="10" cm="1">
        <f t="array" ref="B126">CONVERT2EUR(Transactions01[[#This Row],[Actual Currency]], Transactions01[[#This Row],[Actual Amount]])</f>
        <v>0</v>
      </c>
      <c r="C126" s="10">
        <f>Transactions01[[#This Row],[Actual Amount (EUR)]] - Transactions01[[#This Row],[Projected Amount (EUR)]]</f>
        <v>0</v>
      </c>
      <c r="I126" s="5"/>
      <c r="K126" s="5"/>
    </row>
    <row r="127" spans="1:11" ht="20.100000000000001" customHeight="1" x14ac:dyDescent="0.25">
      <c r="A127" s="10" cm="1">
        <f t="array" ref="A127">CONVERT2EUR(Transactions01[[#This Row],[Projected Currency]], Transactions01[[#This Row],[Projected Amount]])</f>
        <v>0</v>
      </c>
      <c r="B127" s="10" cm="1">
        <f t="array" ref="B127">CONVERT2EUR(Transactions01[[#This Row],[Actual Currency]], Transactions01[[#This Row],[Actual Amount]])</f>
        <v>0</v>
      </c>
      <c r="C127" s="10">
        <f>Transactions01[[#This Row],[Actual Amount (EUR)]] - Transactions01[[#This Row],[Projected Amount (EUR)]]</f>
        <v>0</v>
      </c>
      <c r="I127" s="5"/>
      <c r="K127" s="5"/>
    </row>
    <row r="128" spans="1:11" ht="20.100000000000001" customHeight="1" x14ac:dyDescent="0.25">
      <c r="A128" s="10" cm="1">
        <f t="array" ref="A128">CONVERT2EUR(Transactions01[[#This Row],[Projected Currency]], Transactions01[[#This Row],[Projected Amount]])</f>
        <v>0</v>
      </c>
      <c r="B128" s="10" cm="1">
        <f t="array" ref="B128">CONVERT2EUR(Transactions01[[#This Row],[Actual Currency]], Transactions01[[#This Row],[Actual Amount]])</f>
        <v>0</v>
      </c>
      <c r="C128" s="10">
        <f>Transactions01[[#This Row],[Actual Amount (EUR)]] - Transactions01[[#This Row],[Projected Amount (EUR)]]</f>
        <v>0</v>
      </c>
      <c r="I128" s="5"/>
      <c r="K128" s="5"/>
    </row>
    <row r="129" spans="1:11" ht="20.100000000000001" customHeight="1" x14ac:dyDescent="0.25">
      <c r="A129" s="10" cm="1">
        <f t="array" ref="A129">CONVERT2EUR(Transactions01[[#This Row],[Projected Currency]], Transactions01[[#This Row],[Projected Amount]])</f>
        <v>0</v>
      </c>
      <c r="B129" s="10" cm="1">
        <f t="array" ref="B129">CONVERT2EUR(Transactions01[[#This Row],[Actual Currency]], Transactions01[[#This Row],[Actual Amount]])</f>
        <v>0</v>
      </c>
      <c r="C129" s="10">
        <f>Transactions01[[#This Row],[Actual Amount (EUR)]] - Transactions01[[#This Row],[Projected Amount (EUR)]]</f>
        <v>0</v>
      </c>
      <c r="I129" s="5"/>
      <c r="K129" s="5"/>
    </row>
    <row r="130" spans="1:11" ht="20.100000000000001" customHeight="1" x14ac:dyDescent="0.25">
      <c r="A130" s="10" cm="1">
        <f t="array" ref="A130">CONVERT2EUR(Transactions01[[#This Row],[Projected Currency]], Transactions01[[#This Row],[Projected Amount]])</f>
        <v>0</v>
      </c>
      <c r="B130" s="10" cm="1">
        <f t="array" ref="B130">CONVERT2EUR(Transactions01[[#This Row],[Actual Currency]], Transactions01[[#This Row],[Actual Amount]])</f>
        <v>0</v>
      </c>
      <c r="C130" s="10">
        <f>Transactions01[[#This Row],[Actual Amount (EUR)]] - Transactions01[[#This Row],[Projected Amount (EUR)]]</f>
        <v>0</v>
      </c>
      <c r="I130" s="5"/>
      <c r="K130" s="5"/>
    </row>
    <row r="131" spans="1:11" ht="20.100000000000001" customHeight="1" x14ac:dyDescent="0.25">
      <c r="A131" s="10" cm="1">
        <f t="array" ref="A131">CONVERT2EUR(Transactions01[[#This Row],[Projected Currency]], Transactions01[[#This Row],[Projected Amount]])</f>
        <v>0</v>
      </c>
      <c r="B131" s="10" cm="1">
        <f t="array" ref="B131">CONVERT2EUR(Transactions01[[#This Row],[Actual Currency]], Transactions01[[#This Row],[Actual Amount]])</f>
        <v>0</v>
      </c>
      <c r="C131" s="10">
        <f>Transactions01[[#This Row],[Actual Amount (EUR)]] - Transactions01[[#This Row],[Projected Amount (EUR)]]</f>
        <v>0</v>
      </c>
      <c r="I131" s="5"/>
      <c r="K131" s="5"/>
    </row>
    <row r="132" spans="1:11" ht="20.100000000000001" customHeight="1" x14ac:dyDescent="0.25">
      <c r="A132" s="10" cm="1">
        <f t="array" ref="A132">CONVERT2EUR(Transactions01[[#This Row],[Projected Currency]], Transactions01[[#This Row],[Projected Amount]])</f>
        <v>0</v>
      </c>
      <c r="B132" s="10" cm="1">
        <f t="array" ref="B132">CONVERT2EUR(Transactions01[[#This Row],[Actual Currency]], Transactions01[[#This Row],[Actual Amount]])</f>
        <v>0</v>
      </c>
      <c r="C132" s="10">
        <f>Transactions01[[#This Row],[Actual Amount (EUR)]] - Transactions01[[#This Row],[Projected Amount (EUR)]]</f>
        <v>0</v>
      </c>
      <c r="I132" s="5"/>
      <c r="K132" s="5"/>
    </row>
    <row r="133" spans="1:11" ht="20.100000000000001" customHeight="1" x14ac:dyDescent="0.25">
      <c r="A133" s="10" cm="1">
        <f t="array" ref="A133">CONVERT2EUR(Transactions01[[#This Row],[Projected Currency]], Transactions01[[#This Row],[Projected Amount]])</f>
        <v>0</v>
      </c>
      <c r="B133" s="10" cm="1">
        <f t="array" ref="B133">CONVERT2EUR(Transactions01[[#This Row],[Actual Currency]], Transactions01[[#This Row],[Actual Amount]])</f>
        <v>0</v>
      </c>
      <c r="C133" s="10">
        <f>Transactions01[[#This Row],[Actual Amount (EUR)]] - Transactions01[[#This Row],[Projected Amount (EUR)]]</f>
        <v>0</v>
      </c>
      <c r="I133" s="5"/>
      <c r="K133" s="5"/>
    </row>
    <row r="134" spans="1:11" ht="20.100000000000001" customHeight="1" x14ac:dyDescent="0.25">
      <c r="A134" s="10" cm="1">
        <f t="array" ref="A134">CONVERT2EUR(Transactions01[[#This Row],[Projected Currency]], Transactions01[[#This Row],[Projected Amount]])</f>
        <v>0</v>
      </c>
      <c r="B134" s="10" cm="1">
        <f t="array" ref="B134">CONVERT2EUR(Transactions01[[#This Row],[Actual Currency]], Transactions01[[#This Row],[Actual Amount]])</f>
        <v>0</v>
      </c>
      <c r="C134" s="10">
        <f>Transactions01[[#This Row],[Actual Amount (EUR)]] - Transactions01[[#This Row],[Projected Amount (EUR)]]</f>
        <v>0</v>
      </c>
      <c r="I134" s="5"/>
      <c r="K134" s="5"/>
    </row>
    <row r="135" spans="1:11" ht="20.100000000000001" customHeight="1" x14ac:dyDescent="0.25">
      <c r="A135" s="10" cm="1">
        <f t="array" ref="A135">CONVERT2EUR(Transactions01[[#This Row],[Projected Currency]], Transactions01[[#This Row],[Projected Amount]])</f>
        <v>0</v>
      </c>
      <c r="B135" s="10" cm="1">
        <f t="array" ref="B135">CONVERT2EUR(Transactions01[[#This Row],[Actual Currency]], Transactions01[[#This Row],[Actual Amount]])</f>
        <v>0</v>
      </c>
      <c r="C135" s="10">
        <f>Transactions01[[#This Row],[Actual Amount (EUR)]] - Transactions01[[#This Row],[Projected Amount (EUR)]]</f>
        <v>0</v>
      </c>
      <c r="I135" s="5"/>
      <c r="K135" s="5"/>
    </row>
    <row r="136" spans="1:11" ht="20.100000000000001" customHeight="1" x14ac:dyDescent="0.25">
      <c r="A136" s="10" cm="1">
        <f t="array" ref="A136">CONVERT2EUR(Transactions01[[#This Row],[Projected Currency]], Transactions01[[#This Row],[Projected Amount]])</f>
        <v>0</v>
      </c>
      <c r="B136" s="10" cm="1">
        <f t="array" ref="B136">CONVERT2EUR(Transactions01[[#This Row],[Actual Currency]], Transactions01[[#This Row],[Actual Amount]])</f>
        <v>0</v>
      </c>
      <c r="C136" s="10">
        <f>Transactions01[[#This Row],[Actual Amount (EUR)]] - Transactions01[[#This Row],[Projected Amount (EUR)]]</f>
        <v>0</v>
      </c>
      <c r="I136" s="5"/>
      <c r="K136" s="5"/>
    </row>
    <row r="137" spans="1:11" ht="20.100000000000001" customHeight="1" x14ac:dyDescent="0.25">
      <c r="A137" s="10" cm="1">
        <f t="array" ref="A137">CONVERT2EUR(Transactions01[[#This Row],[Projected Currency]], Transactions01[[#This Row],[Projected Amount]])</f>
        <v>0</v>
      </c>
      <c r="B137" s="10" cm="1">
        <f t="array" ref="B137">CONVERT2EUR(Transactions01[[#This Row],[Actual Currency]], Transactions01[[#This Row],[Actual Amount]])</f>
        <v>0</v>
      </c>
      <c r="C137" s="10">
        <f>Transactions01[[#This Row],[Actual Amount (EUR)]] - Transactions01[[#This Row],[Projected Amount (EUR)]]</f>
        <v>0</v>
      </c>
      <c r="I137" s="5"/>
      <c r="K137" s="5"/>
    </row>
    <row r="138" spans="1:11" ht="20.100000000000001" customHeight="1" x14ac:dyDescent="0.25">
      <c r="A138" s="10" cm="1">
        <f t="array" ref="A138">CONVERT2EUR(Transactions01[[#This Row],[Projected Currency]], Transactions01[[#This Row],[Projected Amount]])</f>
        <v>0</v>
      </c>
      <c r="B138" s="10" cm="1">
        <f t="array" ref="B138">CONVERT2EUR(Transactions01[[#This Row],[Actual Currency]], Transactions01[[#This Row],[Actual Amount]])</f>
        <v>0</v>
      </c>
      <c r="C138" s="10">
        <f>Transactions01[[#This Row],[Actual Amount (EUR)]] - Transactions01[[#This Row],[Projected Amount (EUR)]]</f>
        <v>0</v>
      </c>
      <c r="I138" s="5"/>
      <c r="K138" s="5"/>
    </row>
    <row r="139" spans="1:11" ht="20.100000000000001" customHeight="1" x14ac:dyDescent="0.25">
      <c r="A139" s="10" cm="1">
        <f t="array" ref="A139">CONVERT2EUR(Transactions01[[#This Row],[Projected Currency]], Transactions01[[#This Row],[Projected Amount]])</f>
        <v>0</v>
      </c>
      <c r="B139" s="10" cm="1">
        <f t="array" ref="B139">CONVERT2EUR(Transactions01[[#This Row],[Actual Currency]], Transactions01[[#This Row],[Actual Amount]])</f>
        <v>0</v>
      </c>
      <c r="C139" s="10">
        <f>Transactions01[[#This Row],[Actual Amount (EUR)]] - Transactions01[[#This Row],[Projected Amount (EUR)]]</f>
        <v>0</v>
      </c>
      <c r="I139" s="5"/>
      <c r="K139" s="5"/>
    </row>
    <row r="140" spans="1:11" ht="20.100000000000001" customHeight="1" x14ac:dyDescent="0.25">
      <c r="A140" s="10" cm="1">
        <f t="array" ref="A140">CONVERT2EUR(Transactions01[[#This Row],[Projected Currency]], Transactions01[[#This Row],[Projected Amount]])</f>
        <v>0</v>
      </c>
      <c r="B140" s="10" cm="1">
        <f t="array" ref="B140">CONVERT2EUR(Transactions01[[#This Row],[Actual Currency]], Transactions01[[#This Row],[Actual Amount]])</f>
        <v>0</v>
      </c>
      <c r="C140" s="10">
        <f>Transactions01[[#This Row],[Actual Amount (EUR)]] - Transactions01[[#This Row],[Projected Amount (EUR)]]</f>
        <v>0</v>
      </c>
      <c r="I140" s="5"/>
      <c r="K140" s="5"/>
    </row>
    <row r="141" spans="1:11" ht="20.100000000000001" customHeight="1" x14ac:dyDescent="0.25">
      <c r="A141" s="10" cm="1">
        <f t="array" ref="A141">CONVERT2EUR(Transactions01[[#This Row],[Projected Currency]], Transactions01[[#This Row],[Projected Amount]])</f>
        <v>0</v>
      </c>
      <c r="B141" s="10" cm="1">
        <f t="array" ref="B141">CONVERT2EUR(Transactions01[[#This Row],[Actual Currency]], Transactions01[[#This Row],[Actual Amount]])</f>
        <v>0</v>
      </c>
      <c r="C141" s="10">
        <f>Transactions01[[#This Row],[Actual Amount (EUR)]] - Transactions01[[#This Row],[Projected Amount (EUR)]]</f>
        <v>0</v>
      </c>
      <c r="I141" s="5"/>
      <c r="K141" s="5"/>
    </row>
    <row r="142" spans="1:11" ht="20.100000000000001" customHeight="1" x14ac:dyDescent="0.25">
      <c r="A142" s="10" cm="1">
        <f t="array" ref="A142">CONVERT2EUR(Transactions01[[#This Row],[Projected Currency]], Transactions01[[#This Row],[Projected Amount]])</f>
        <v>0</v>
      </c>
      <c r="B142" s="10" cm="1">
        <f t="array" ref="B142">CONVERT2EUR(Transactions01[[#This Row],[Actual Currency]], Transactions01[[#This Row],[Actual Amount]])</f>
        <v>0</v>
      </c>
      <c r="C142" s="10">
        <f>Transactions01[[#This Row],[Actual Amount (EUR)]] - Transactions01[[#This Row],[Projected Amount (EUR)]]</f>
        <v>0</v>
      </c>
      <c r="I142" s="5"/>
      <c r="K142" s="5"/>
    </row>
    <row r="143" spans="1:11" ht="20.100000000000001" customHeight="1" x14ac:dyDescent="0.25">
      <c r="A143" s="10" cm="1">
        <f t="array" ref="A143">CONVERT2EUR(Transactions01[[#This Row],[Projected Currency]], Transactions01[[#This Row],[Projected Amount]])</f>
        <v>0</v>
      </c>
      <c r="B143" s="10" cm="1">
        <f t="array" ref="B143">CONVERT2EUR(Transactions01[[#This Row],[Actual Currency]], Transactions01[[#This Row],[Actual Amount]])</f>
        <v>0</v>
      </c>
      <c r="C143" s="10">
        <f>Transactions01[[#This Row],[Actual Amount (EUR)]] - Transactions01[[#This Row],[Projected Amount (EUR)]]</f>
        <v>0</v>
      </c>
      <c r="I143" s="5"/>
      <c r="K143" s="5"/>
    </row>
    <row r="144" spans="1:11" ht="20.100000000000001" customHeight="1" x14ac:dyDescent="0.25">
      <c r="A144" s="10" cm="1">
        <f t="array" ref="A144">CONVERT2EUR(Transactions01[[#This Row],[Projected Currency]], Transactions01[[#This Row],[Projected Amount]])</f>
        <v>0</v>
      </c>
      <c r="B144" s="10" cm="1">
        <f t="array" ref="B144">CONVERT2EUR(Transactions01[[#This Row],[Actual Currency]], Transactions01[[#This Row],[Actual Amount]])</f>
        <v>0</v>
      </c>
      <c r="C144" s="10">
        <f>Transactions01[[#This Row],[Actual Amount (EUR)]] - Transactions01[[#This Row],[Projected Amount (EUR)]]</f>
        <v>0</v>
      </c>
      <c r="I144" s="5"/>
      <c r="K144" s="5"/>
    </row>
    <row r="145" spans="1:11" ht="20.100000000000001" customHeight="1" x14ac:dyDescent="0.25">
      <c r="A145" s="10" cm="1">
        <f t="array" ref="A145">CONVERT2EUR(Transactions01[[#This Row],[Projected Currency]], Transactions01[[#This Row],[Projected Amount]])</f>
        <v>0</v>
      </c>
      <c r="B145" s="10" cm="1">
        <f t="array" ref="B145">CONVERT2EUR(Transactions01[[#This Row],[Actual Currency]], Transactions01[[#This Row],[Actual Amount]])</f>
        <v>0</v>
      </c>
      <c r="C145" s="10">
        <f>Transactions01[[#This Row],[Actual Amount (EUR)]] - Transactions01[[#This Row],[Projected Amount (EUR)]]</f>
        <v>0</v>
      </c>
      <c r="I145" s="5"/>
      <c r="K145" s="5"/>
    </row>
    <row r="146" spans="1:11" ht="20.100000000000001" customHeight="1" x14ac:dyDescent="0.25">
      <c r="A146" s="10" cm="1">
        <f t="array" ref="A146">CONVERT2EUR(Transactions01[[#This Row],[Projected Currency]], Transactions01[[#This Row],[Projected Amount]])</f>
        <v>0</v>
      </c>
      <c r="B146" s="10" cm="1">
        <f t="array" ref="B146">CONVERT2EUR(Transactions01[[#This Row],[Actual Currency]], Transactions01[[#This Row],[Actual Amount]])</f>
        <v>0</v>
      </c>
      <c r="C146" s="10">
        <f>Transactions01[[#This Row],[Actual Amount (EUR)]] - Transactions01[[#This Row],[Projected Amount (EUR)]]</f>
        <v>0</v>
      </c>
      <c r="I146" s="5"/>
      <c r="K146" s="5"/>
    </row>
    <row r="147" spans="1:11" ht="20.100000000000001" customHeight="1" x14ac:dyDescent="0.25">
      <c r="A147" s="10" cm="1">
        <f t="array" ref="A147">CONVERT2EUR(Transactions01[[#This Row],[Projected Currency]], Transactions01[[#This Row],[Projected Amount]])</f>
        <v>0</v>
      </c>
      <c r="B147" s="10" cm="1">
        <f t="array" ref="B147">CONVERT2EUR(Transactions01[[#This Row],[Actual Currency]], Transactions01[[#This Row],[Actual Amount]])</f>
        <v>0</v>
      </c>
      <c r="C147" s="10">
        <f>Transactions01[[#This Row],[Actual Amount (EUR)]] - Transactions01[[#This Row],[Projected Amount (EUR)]]</f>
        <v>0</v>
      </c>
      <c r="I147" s="5"/>
      <c r="K147" s="5"/>
    </row>
    <row r="148" spans="1:11" ht="20.100000000000001" customHeight="1" x14ac:dyDescent="0.25">
      <c r="A148" s="10" cm="1">
        <f t="array" ref="A148">CONVERT2EUR(Transactions01[[#This Row],[Projected Currency]], Transactions01[[#This Row],[Projected Amount]])</f>
        <v>0</v>
      </c>
      <c r="B148" s="10" cm="1">
        <f t="array" ref="B148">CONVERT2EUR(Transactions01[[#This Row],[Actual Currency]], Transactions01[[#This Row],[Actual Amount]])</f>
        <v>0</v>
      </c>
      <c r="C148" s="10">
        <f>Transactions01[[#This Row],[Actual Amount (EUR)]] - Transactions01[[#This Row],[Projected Amount (EUR)]]</f>
        <v>0</v>
      </c>
      <c r="I148" s="5"/>
      <c r="K148" s="5"/>
    </row>
    <row r="149" spans="1:11" ht="20.100000000000001" customHeight="1" x14ac:dyDescent="0.25">
      <c r="A149" s="10" cm="1">
        <f t="array" ref="A149">CONVERT2EUR(Transactions01[[#This Row],[Projected Currency]], Transactions01[[#This Row],[Projected Amount]])</f>
        <v>0</v>
      </c>
      <c r="B149" s="10" cm="1">
        <f t="array" ref="B149">CONVERT2EUR(Transactions01[[#This Row],[Actual Currency]], Transactions01[[#This Row],[Actual Amount]])</f>
        <v>0</v>
      </c>
      <c r="C149" s="10">
        <f>Transactions01[[#This Row],[Actual Amount (EUR)]] - Transactions01[[#This Row],[Projected Amount (EUR)]]</f>
        <v>0</v>
      </c>
      <c r="I149" s="5"/>
      <c r="K149" s="5"/>
    </row>
    <row r="150" spans="1:11" ht="20.100000000000001" customHeight="1" x14ac:dyDescent="0.25">
      <c r="A150" s="10" cm="1">
        <f t="array" ref="A150">CONVERT2EUR(Transactions01[[#This Row],[Projected Currency]], Transactions01[[#This Row],[Projected Amount]])</f>
        <v>0</v>
      </c>
      <c r="B150" s="10" cm="1">
        <f t="array" ref="B150">CONVERT2EUR(Transactions01[[#This Row],[Actual Currency]], Transactions01[[#This Row],[Actual Amount]])</f>
        <v>0</v>
      </c>
      <c r="C150" s="10">
        <f>Transactions01[[#This Row],[Actual Amount (EUR)]] - Transactions01[[#This Row],[Projected Amount (EUR)]]</f>
        <v>0</v>
      </c>
      <c r="I150" s="5"/>
      <c r="K150" s="5"/>
    </row>
    <row r="151" spans="1:11" ht="20.100000000000001" customHeight="1" x14ac:dyDescent="0.25">
      <c r="A151" s="10" cm="1">
        <f t="array" ref="A151">CONVERT2EUR(Transactions01[[#This Row],[Projected Currency]], Transactions01[[#This Row],[Projected Amount]])</f>
        <v>0</v>
      </c>
      <c r="B151" s="10" cm="1">
        <f t="array" ref="B151">CONVERT2EUR(Transactions01[[#This Row],[Actual Currency]], Transactions01[[#This Row],[Actual Amount]])</f>
        <v>0</v>
      </c>
      <c r="C151" s="10">
        <f>Transactions01[[#This Row],[Actual Amount (EUR)]] - Transactions01[[#This Row],[Projected Amount (EUR)]]</f>
        <v>0</v>
      </c>
      <c r="I151" s="5"/>
      <c r="K151" s="5"/>
    </row>
    <row r="152" spans="1:11" ht="20.100000000000001" customHeight="1" x14ac:dyDescent="0.25">
      <c r="A152" s="10" cm="1">
        <f t="array" ref="A152">CONVERT2EUR(Transactions01[[#This Row],[Projected Currency]], Transactions01[[#This Row],[Projected Amount]])</f>
        <v>0</v>
      </c>
      <c r="B152" s="10" cm="1">
        <f t="array" ref="B152">CONVERT2EUR(Transactions01[[#This Row],[Actual Currency]], Transactions01[[#This Row],[Actual Amount]])</f>
        <v>0</v>
      </c>
      <c r="C152" s="10">
        <f>Transactions01[[#This Row],[Actual Amount (EUR)]] - Transactions01[[#This Row],[Projected Amount (EUR)]]</f>
        <v>0</v>
      </c>
      <c r="I152" s="5"/>
      <c r="K152" s="5"/>
    </row>
    <row r="153" spans="1:11" ht="20.100000000000001" customHeight="1" x14ac:dyDescent="0.25">
      <c r="A153" s="10" cm="1">
        <f t="array" ref="A153">CONVERT2EUR(Transactions01[[#This Row],[Projected Currency]], Transactions01[[#This Row],[Projected Amount]])</f>
        <v>0</v>
      </c>
      <c r="B153" s="10" cm="1">
        <f t="array" ref="B153">CONVERT2EUR(Transactions01[[#This Row],[Actual Currency]], Transactions01[[#This Row],[Actual Amount]])</f>
        <v>0</v>
      </c>
      <c r="C153" s="10">
        <f>Transactions01[[#This Row],[Actual Amount (EUR)]] - Transactions01[[#This Row],[Projected Amount (EUR)]]</f>
        <v>0</v>
      </c>
      <c r="I153" s="5"/>
      <c r="K153" s="5"/>
    </row>
    <row r="154" spans="1:11" ht="20.100000000000001" customHeight="1" x14ac:dyDescent="0.25">
      <c r="A154" s="10" cm="1">
        <f t="array" ref="A154">CONVERT2EUR(Transactions01[[#This Row],[Projected Currency]], Transactions01[[#This Row],[Projected Amount]])</f>
        <v>0</v>
      </c>
      <c r="B154" s="10" cm="1">
        <f t="array" ref="B154">CONVERT2EUR(Transactions01[[#This Row],[Actual Currency]], Transactions01[[#This Row],[Actual Amount]])</f>
        <v>0</v>
      </c>
      <c r="C154" s="10">
        <f>Transactions01[[#This Row],[Actual Amount (EUR)]] - Transactions01[[#This Row],[Projected Amount (EUR)]]</f>
        <v>0</v>
      </c>
      <c r="I154" s="5"/>
      <c r="K154" s="5"/>
    </row>
    <row r="155" spans="1:11" ht="20.100000000000001" customHeight="1" x14ac:dyDescent="0.25">
      <c r="A155" s="10" cm="1">
        <f t="array" ref="A155">CONVERT2EUR(Transactions01[[#This Row],[Projected Currency]], Transactions01[[#This Row],[Projected Amount]])</f>
        <v>0</v>
      </c>
      <c r="B155" s="10" cm="1">
        <f t="array" ref="B155">CONVERT2EUR(Transactions01[[#This Row],[Actual Currency]], Transactions01[[#This Row],[Actual Amount]])</f>
        <v>0</v>
      </c>
      <c r="C155" s="10">
        <f>Transactions01[[#This Row],[Actual Amount (EUR)]] - Transactions01[[#This Row],[Projected Amount (EUR)]]</f>
        <v>0</v>
      </c>
      <c r="I155" s="5"/>
      <c r="K155" s="5"/>
    </row>
    <row r="156" spans="1:11" ht="20.100000000000001" customHeight="1" x14ac:dyDescent="0.25">
      <c r="A156" s="10" cm="1">
        <f t="array" ref="A156">CONVERT2EUR(Transactions01[[#This Row],[Projected Currency]], Transactions01[[#This Row],[Projected Amount]])</f>
        <v>0</v>
      </c>
      <c r="B156" s="10" cm="1">
        <f t="array" ref="B156">CONVERT2EUR(Transactions01[[#This Row],[Actual Currency]], Transactions01[[#This Row],[Actual Amount]])</f>
        <v>0</v>
      </c>
      <c r="C156" s="10">
        <f>Transactions01[[#This Row],[Actual Amount (EUR)]] - Transactions01[[#This Row],[Projected Amount (EUR)]]</f>
        <v>0</v>
      </c>
      <c r="I156" s="5"/>
      <c r="K156" s="5"/>
    </row>
    <row r="157" spans="1:11" ht="20.100000000000001" customHeight="1" x14ac:dyDescent="0.25">
      <c r="A157" s="10" cm="1">
        <f t="array" ref="A157">CONVERT2EUR(Transactions01[[#This Row],[Projected Currency]], Transactions01[[#This Row],[Projected Amount]])</f>
        <v>0</v>
      </c>
      <c r="B157" s="10" cm="1">
        <f t="array" ref="B157">CONVERT2EUR(Transactions01[[#This Row],[Actual Currency]], Transactions01[[#This Row],[Actual Amount]])</f>
        <v>0</v>
      </c>
      <c r="C157" s="10">
        <f>Transactions01[[#This Row],[Actual Amount (EUR)]] - Transactions01[[#This Row],[Projected Amount (EUR)]]</f>
        <v>0</v>
      </c>
      <c r="I157" s="5"/>
      <c r="K157" s="5"/>
    </row>
    <row r="158" spans="1:11" ht="20.100000000000001" customHeight="1" x14ac:dyDescent="0.25">
      <c r="A158" s="10" cm="1">
        <f t="array" ref="A158">CONVERT2EUR(Transactions01[[#This Row],[Projected Currency]], Transactions01[[#This Row],[Projected Amount]])</f>
        <v>0</v>
      </c>
      <c r="B158" s="10" cm="1">
        <f t="array" ref="B158">CONVERT2EUR(Transactions01[[#This Row],[Actual Currency]], Transactions01[[#This Row],[Actual Amount]])</f>
        <v>0</v>
      </c>
      <c r="C158" s="10">
        <f>Transactions01[[#This Row],[Actual Amount (EUR)]] - Transactions01[[#This Row],[Projected Amount (EUR)]]</f>
        <v>0</v>
      </c>
      <c r="I158" s="5"/>
      <c r="K158" s="5"/>
    </row>
    <row r="159" spans="1:11" ht="20.100000000000001" customHeight="1" x14ac:dyDescent="0.25">
      <c r="A159" s="10" cm="1">
        <f t="array" ref="A159">CONVERT2EUR(Transactions01[[#This Row],[Projected Currency]], Transactions01[[#This Row],[Projected Amount]])</f>
        <v>0</v>
      </c>
      <c r="B159" s="10" cm="1">
        <f t="array" ref="B159">CONVERT2EUR(Transactions01[[#This Row],[Actual Currency]], Transactions01[[#This Row],[Actual Amount]])</f>
        <v>0</v>
      </c>
      <c r="C159" s="10">
        <f>Transactions01[[#This Row],[Actual Amount (EUR)]] - Transactions01[[#This Row],[Projected Amount (EUR)]]</f>
        <v>0</v>
      </c>
      <c r="I159" s="5"/>
      <c r="K159" s="5"/>
    </row>
    <row r="160" spans="1:11" ht="20.100000000000001" customHeight="1" x14ac:dyDescent="0.25">
      <c r="A160" s="10" cm="1">
        <f t="array" ref="A160">CONVERT2EUR(Transactions01[[#This Row],[Projected Currency]], Transactions01[[#This Row],[Projected Amount]])</f>
        <v>0</v>
      </c>
      <c r="B160" s="10" cm="1">
        <f t="array" ref="B160">CONVERT2EUR(Transactions01[[#This Row],[Actual Currency]], Transactions01[[#This Row],[Actual Amount]])</f>
        <v>0</v>
      </c>
      <c r="C160" s="10">
        <f>Transactions01[[#This Row],[Actual Amount (EUR)]] - Transactions01[[#This Row],[Projected Amount (EUR)]]</f>
        <v>0</v>
      </c>
      <c r="I160" s="5"/>
      <c r="K160" s="5"/>
    </row>
    <row r="161" spans="1:11" ht="20.100000000000001" customHeight="1" x14ac:dyDescent="0.25">
      <c r="A161" s="10" cm="1">
        <f t="array" ref="A161">CONVERT2EUR(Transactions01[[#This Row],[Projected Currency]], Transactions01[[#This Row],[Projected Amount]])</f>
        <v>0</v>
      </c>
      <c r="B161" s="10" cm="1">
        <f t="array" ref="B161">CONVERT2EUR(Transactions01[[#This Row],[Actual Currency]], Transactions01[[#This Row],[Actual Amount]])</f>
        <v>0</v>
      </c>
      <c r="C161" s="10">
        <f>Transactions01[[#This Row],[Actual Amount (EUR)]] - Transactions01[[#This Row],[Projected Amount (EUR)]]</f>
        <v>0</v>
      </c>
      <c r="I161" s="5"/>
      <c r="K161" s="5"/>
    </row>
    <row r="162" spans="1:11" ht="20.100000000000001" customHeight="1" x14ac:dyDescent="0.25">
      <c r="A162" s="10" cm="1">
        <f t="array" ref="A162">CONVERT2EUR(Transactions01[[#This Row],[Projected Currency]], Transactions01[[#This Row],[Projected Amount]])</f>
        <v>0</v>
      </c>
      <c r="B162" s="10" cm="1">
        <f t="array" ref="B162">CONVERT2EUR(Transactions01[[#This Row],[Actual Currency]], Transactions01[[#This Row],[Actual Amount]])</f>
        <v>0</v>
      </c>
      <c r="C162" s="10">
        <f>Transactions01[[#This Row],[Actual Amount (EUR)]] - Transactions01[[#This Row],[Projected Amount (EUR)]]</f>
        <v>0</v>
      </c>
      <c r="I162" s="5"/>
      <c r="K162" s="5"/>
    </row>
    <row r="163" spans="1:11" ht="20.100000000000001" customHeight="1" x14ac:dyDescent="0.25">
      <c r="A163" s="10" cm="1">
        <f t="array" ref="A163">CONVERT2EUR(Transactions01[[#This Row],[Projected Currency]], Transactions01[[#This Row],[Projected Amount]])</f>
        <v>0</v>
      </c>
      <c r="B163" s="10" cm="1">
        <f t="array" ref="B163">CONVERT2EUR(Transactions01[[#This Row],[Actual Currency]], Transactions01[[#This Row],[Actual Amount]])</f>
        <v>0</v>
      </c>
      <c r="C163" s="10">
        <f>Transactions01[[#This Row],[Actual Amount (EUR)]] - Transactions01[[#This Row],[Projected Amount (EUR)]]</f>
        <v>0</v>
      </c>
      <c r="I163" s="5"/>
      <c r="K163" s="5"/>
    </row>
    <row r="164" spans="1:11" ht="20.100000000000001" customHeight="1" x14ac:dyDescent="0.25">
      <c r="A164" s="10" cm="1">
        <f t="array" ref="A164">CONVERT2EUR(Transactions01[[#This Row],[Projected Currency]], Transactions01[[#This Row],[Projected Amount]])</f>
        <v>0</v>
      </c>
      <c r="B164" s="10" cm="1">
        <f t="array" ref="B164">CONVERT2EUR(Transactions01[[#This Row],[Actual Currency]], Transactions01[[#This Row],[Actual Amount]])</f>
        <v>0</v>
      </c>
      <c r="C164" s="10">
        <f>Transactions01[[#This Row],[Actual Amount (EUR)]] - Transactions01[[#This Row],[Projected Amount (EUR)]]</f>
        <v>0</v>
      </c>
      <c r="I164" s="5"/>
      <c r="K164" s="5"/>
    </row>
    <row r="165" spans="1:11" ht="20.100000000000001" customHeight="1" x14ac:dyDescent="0.25">
      <c r="A165" s="10" cm="1">
        <f t="array" ref="A165">CONVERT2EUR(Transactions01[[#This Row],[Projected Currency]], Transactions01[[#This Row],[Projected Amount]])</f>
        <v>0</v>
      </c>
      <c r="B165" s="10" cm="1">
        <f t="array" ref="B165">CONVERT2EUR(Transactions01[[#This Row],[Actual Currency]], Transactions01[[#This Row],[Actual Amount]])</f>
        <v>0</v>
      </c>
      <c r="C165" s="10">
        <f>Transactions01[[#This Row],[Actual Amount (EUR)]] - Transactions01[[#This Row],[Projected Amount (EUR)]]</f>
        <v>0</v>
      </c>
      <c r="I165" s="5"/>
      <c r="K165" s="5"/>
    </row>
    <row r="166" spans="1:11" ht="20.100000000000001" customHeight="1" x14ac:dyDescent="0.25">
      <c r="A166" s="10" cm="1">
        <f t="array" ref="A166">CONVERT2EUR(Transactions01[[#This Row],[Projected Currency]], Transactions01[[#This Row],[Projected Amount]])</f>
        <v>0</v>
      </c>
      <c r="B166" s="10" cm="1">
        <f t="array" ref="B166">CONVERT2EUR(Transactions01[[#This Row],[Actual Currency]], Transactions01[[#This Row],[Actual Amount]])</f>
        <v>0</v>
      </c>
      <c r="C166" s="10">
        <f>Transactions01[[#This Row],[Actual Amount (EUR)]] - Transactions01[[#This Row],[Projected Amount (EUR)]]</f>
        <v>0</v>
      </c>
      <c r="I166" s="5"/>
      <c r="K166" s="5"/>
    </row>
    <row r="167" spans="1:11" ht="20.100000000000001" customHeight="1" x14ac:dyDescent="0.25">
      <c r="A167" s="10" cm="1">
        <f t="array" ref="A167">CONVERT2EUR(Transactions01[[#This Row],[Projected Currency]], Transactions01[[#This Row],[Projected Amount]])</f>
        <v>0</v>
      </c>
      <c r="B167" s="10" cm="1">
        <f t="array" ref="B167">CONVERT2EUR(Transactions01[[#This Row],[Actual Currency]], Transactions01[[#This Row],[Actual Amount]])</f>
        <v>0</v>
      </c>
      <c r="C167" s="10">
        <f>Transactions01[[#This Row],[Actual Amount (EUR)]] - Transactions01[[#This Row],[Projected Amount (EUR)]]</f>
        <v>0</v>
      </c>
      <c r="I167" s="5"/>
      <c r="K167" s="5"/>
    </row>
    <row r="168" spans="1:11" ht="20.100000000000001" customHeight="1" x14ac:dyDescent="0.25">
      <c r="A168" s="10" cm="1">
        <f t="array" ref="A168">CONVERT2EUR(Transactions01[[#This Row],[Projected Currency]], Transactions01[[#This Row],[Projected Amount]])</f>
        <v>0</v>
      </c>
      <c r="B168" s="10" cm="1">
        <f t="array" ref="B168">CONVERT2EUR(Transactions01[[#This Row],[Actual Currency]], Transactions01[[#This Row],[Actual Amount]])</f>
        <v>0</v>
      </c>
      <c r="C168" s="10">
        <f>Transactions01[[#This Row],[Actual Amount (EUR)]] - Transactions01[[#This Row],[Projected Amount (EUR)]]</f>
        <v>0</v>
      </c>
      <c r="I168" s="5"/>
      <c r="K168" s="5"/>
    </row>
    <row r="169" spans="1:11" ht="20.100000000000001" customHeight="1" x14ac:dyDescent="0.25">
      <c r="A169" s="10" cm="1">
        <f t="array" ref="A169">CONVERT2EUR(Transactions01[[#This Row],[Projected Currency]], Transactions01[[#This Row],[Projected Amount]])</f>
        <v>0</v>
      </c>
      <c r="B169" s="10" cm="1">
        <f t="array" ref="B169">CONVERT2EUR(Transactions01[[#This Row],[Actual Currency]], Transactions01[[#This Row],[Actual Amount]])</f>
        <v>0</v>
      </c>
      <c r="C169" s="10">
        <f>Transactions01[[#This Row],[Actual Amount (EUR)]] - Transactions01[[#This Row],[Projected Amount (EUR)]]</f>
        <v>0</v>
      </c>
      <c r="I169" s="5"/>
      <c r="K169" s="5"/>
    </row>
    <row r="170" spans="1:11" ht="20.100000000000001" customHeight="1" x14ac:dyDescent="0.25">
      <c r="A170" s="10" cm="1">
        <f t="array" ref="A170">CONVERT2EUR(Transactions01[[#This Row],[Projected Currency]], Transactions01[[#This Row],[Projected Amount]])</f>
        <v>0</v>
      </c>
      <c r="B170" s="10" cm="1">
        <f t="array" ref="B170">CONVERT2EUR(Transactions01[[#This Row],[Actual Currency]], Transactions01[[#This Row],[Actual Amount]])</f>
        <v>0</v>
      </c>
      <c r="C170" s="10">
        <f>Transactions01[[#This Row],[Actual Amount (EUR)]] - Transactions01[[#This Row],[Projected Amount (EUR)]]</f>
        <v>0</v>
      </c>
      <c r="I170" s="5"/>
      <c r="K170" s="5"/>
    </row>
    <row r="171" spans="1:11" ht="20.100000000000001" customHeight="1" x14ac:dyDescent="0.25">
      <c r="A171" s="10" cm="1">
        <f t="array" ref="A171">CONVERT2EUR(Transactions01[[#This Row],[Projected Currency]], Transactions01[[#This Row],[Projected Amount]])</f>
        <v>0</v>
      </c>
      <c r="B171" s="10" cm="1">
        <f t="array" ref="B171">CONVERT2EUR(Transactions01[[#This Row],[Actual Currency]], Transactions01[[#This Row],[Actual Amount]])</f>
        <v>0</v>
      </c>
      <c r="C171" s="10">
        <f>Transactions01[[#This Row],[Actual Amount (EUR)]] - Transactions01[[#This Row],[Projected Amount (EUR)]]</f>
        <v>0</v>
      </c>
      <c r="I171" s="5"/>
      <c r="K171" s="5"/>
    </row>
    <row r="172" spans="1:11" ht="20.100000000000001" customHeight="1" x14ac:dyDescent="0.25">
      <c r="A172" s="10" cm="1">
        <f t="array" ref="A172">CONVERT2EUR(Transactions01[[#This Row],[Projected Currency]], Transactions01[[#This Row],[Projected Amount]])</f>
        <v>0</v>
      </c>
      <c r="B172" s="10" cm="1">
        <f t="array" ref="B172">CONVERT2EUR(Transactions01[[#This Row],[Actual Currency]], Transactions01[[#This Row],[Actual Amount]])</f>
        <v>0</v>
      </c>
      <c r="C172" s="10">
        <f>Transactions01[[#This Row],[Actual Amount (EUR)]] - Transactions01[[#This Row],[Projected Amount (EUR)]]</f>
        <v>0</v>
      </c>
      <c r="I172" s="5"/>
      <c r="K172" s="5"/>
    </row>
    <row r="173" spans="1:11" ht="20.100000000000001" customHeight="1" x14ac:dyDescent="0.25">
      <c r="A173" s="10" cm="1">
        <f t="array" ref="A173">CONVERT2EUR(Transactions01[[#This Row],[Projected Currency]], Transactions01[[#This Row],[Projected Amount]])</f>
        <v>0</v>
      </c>
      <c r="B173" s="10" cm="1">
        <f t="array" ref="B173">CONVERT2EUR(Transactions01[[#This Row],[Actual Currency]], Transactions01[[#This Row],[Actual Amount]])</f>
        <v>0</v>
      </c>
      <c r="C173" s="10">
        <f>Transactions01[[#This Row],[Actual Amount (EUR)]] - Transactions01[[#This Row],[Projected Amount (EUR)]]</f>
        <v>0</v>
      </c>
      <c r="I173" s="5"/>
      <c r="K173" s="5"/>
    </row>
    <row r="174" spans="1:11" ht="20.100000000000001" customHeight="1" x14ac:dyDescent="0.25">
      <c r="A174" s="10" cm="1">
        <f t="array" ref="A174">CONVERT2EUR(Transactions01[[#This Row],[Projected Currency]], Transactions01[[#This Row],[Projected Amount]])</f>
        <v>0</v>
      </c>
      <c r="B174" s="10" cm="1">
        <f t="array" ref="B174">CONVERT2EUR(Transactions01[[#This Row],[Actual Currency]], Transactions01[[#This Row],[Actual Amount]])</f>
        <v>0</v>
      </c>
      <c r="C174" s="10">
        <f>Transactions01[[#This Row],[Actual Amount (EUR)]] - Transactions01[[#This Row],[Projected Amount (EUR)]]</f>
        <v>0</v>
      </c>
      <c r="I174" s="5"/>
      <c r="K174" s="5"/>
    </row>
    <row r="175" spans="1:11" ht="20.100000000000001" customHeight="1" x14ac:dyDescent="0.25">
      <c r="A175" s="10" cm="1">
        <f t="array" ref="A175">CONVERT2EUR(Transactions01[[#This Row],[Projected Currency]], Transactions01[[#This Row],[Projected Amount]])</f>
        <v>0</v>
      </c>
      <c r="B175" s="10" cm="1">
        <f t="array" ref="B175">CONVERT2EUR(Transactions01[[#This Row],[Actual Currency]], Transactions01[[#This Row],[Actual Amount]])</f>
        <v>0</v>
      </c>
      <c r="C175" s="10">
        <f>Transactions01[[#This Row],[Actual Amount (EUR)]] - Transactions01[[#This Row],[Projected Amount (EUR)]]</f>
        <v>0</v>
      </c>
      <c r="I175" s="5"/>
      <c r="K175" s="5"/>
    </row>
    <row r="176" spans="1:11" ht="20.100000000000001" customHeight="1" x14ac:dyDescent="0.25">
      <c r="A176" s="10" cm="1">
        <f t="array" ref="A176">CONVERT2EUR(Transactions01[[#This Row],[Projected Currency]], Transactions01[[#This Row],[Projected Amount]])</f>
        <v>0</v>
      </c>
      <c r="B176" s="10" cm="1">
        <f t="array" ref="B176">CONVERT2EUR(Transactions01[[#This Row],[Actual Currency]], Transactions01[[#This Row],[Actual Amount]])</f>
        <v>0</v>
      </c>
      <c r="C176" s="10">
        <f>Transactions01[[#This Row],[Actual Amount (EUR)]] - Transactions01[[#This Row],[Projected Amount (EUR)]]</f>
        <v>0</v>
      </c>
      <c r="I176" s="5"/>
      <c r="K176" s="5"/>
    </row>
    <row r="177" spans="1:11" ht="20.100000000000001" customHeight="1" x14ac:dyDescent="0.25">
      <c r="A177" s="10" cm="1">
        <f t="array" ref="A177">CONVERT2EUR(Transactions01[[#This Row],[Projected Currency]], Transactions01[[#This Row],[Projected Amount]])</f>
        <v>0</v>
      </c>
      <c r="B177" s="10" cm="1">
        <f t="array" ref="B177">CONVERT2EUR(Transactions01[[#This Row],[Actual Currency]], Transactions01[[#This Row],[Actual Amount]])</f>
        <v>0</v>
      </c>
      <c r="C177" s="10">
        <f>Transactions01[[#This Row],[Actual Amount (EUR)]] - Transactions01[[#This Row],[Projected Amount (EUR)]]</f>
        <v>0</v>
      </c>
      <c r="I177" s="5"/>
      <c r="K177" s="5"/>
    </row>
    <row r="178" spans="1:11" ht="20.100000000000001" customHeight="1" x14ac:dyDescent="0.25">
      <c r="A178" s="10" cm="1">
        <f t="array" ref="A178">CONVERT2EUR(Transactions01[[#This Row],[Projected Currency]], Transactions01[[#This Row],[Projected Amount]])</f>
        <v>0</v>
      </c>
      <c r="B178" s="10" cm="1">
        <f t="array" ref="B178">CONVERT2EUR(Transactions01[[#This Row],[Actual Currency]], Transactions01[[#This Row],[Actual Amount]])</f>
        <v>0</v>
      </c>
      <c r="C178" s="10">
        <f>Transactions01[[#This Row],[Actual Amount (EUR)]] - Transactions01[[#This Row],[Projected Amount (EUR)]]</f>
        <v>0</v>
      </c>
      <c r="I178" s="5"/>
      <c r="K178" s="5"/>
    </row>
    <row r="179" spans="1:11" ht="20.100000000000001" customHeight="1" x14ac:dyDescent="0.25">
      <c r="A179" s="10" cm="1">
        <f t="array" ref="A179">CONVERT2EUR(Transactions01[[#This Row],[Projected Currency]], Transactions01[[#This Row],[Projected Amount]])</f>
        <v>0</v>
      </c>
      <c r="B179" s="10" cm="1">
        <f t="array" ref="B179">CONVERT2EUR(Transactions01[[#This Row],[Actual Currency]], Transactions01[[#This Row],[Actual Amount]])</f>
        <v>0</v>
      </c>
      <c r="C179" s="10">
        <f>Transactions01[[#This Row],[Actual Amount (EUR)]] - Transactions01[[#This Row],[Projected Amount (EUR)]]</f>
        <v>0</v>
      </c>
      <c r="I179" s="5"/>
      <c r="K179" s="5"/>
    </row>
    <row r="180" spans="1:11" ht="20.100000000000001" customHeight="1" x14ac:dyDescent="0.25">
      <c r="A180" s="10" cm="1">
        <f t="array" ref="A180">CONVERT2EUR(Transactions01[[#This Row],[Projected Currency]], Transactions01[[#This Row],[Projected Amount]])</f>
        <v>0</v>
      </c>
      <c r="B180" s="10" cm="1">
        <f t="array" ref="B180">CONVERT2EUR(Transactions01[[#This Row],[Actual Currency]], Transactions01[[#This Row],[Actual Amount]])</f>
        <v>0</v>
      </c>
      <c r="C180" s="10">
        <f>Transactions01[[#This Row],[Actual Amount (EUR)]] - Transactions01[[#This Row],[Projected Amount (EUR)]]</f>
        <v>0</v>
      </c>
      <c r="I180" s="5"/>
      <c r="K180" s="5"/>
    </row>
    <row r="181" spans="1:11" ht="20.100000000000001" customHeight="1" x14ac:dyDescent="0.25">
      <c r="A181" s="10" cm="1">
        <f t="array" ref="A181">CONVERT2EUR(Transactions01[[#This Row],[Projected Currency]], Transactions01[[#This Row],[Projected Amount]])</f>
        <v>0</v>
      </c>
      <c r="B181" s="10" cm="1">
        <f t="array" ref="B181">CONVERT2EUR(Transactions01[[#This Row],[Actual Currency]], Transactions01[[#This Row],[Actual Amount]])</f>
        <v>0</v>
      </c>
      <c r="C181" s="10">
        <f>Transactions01[[#This Row],[Actual Amount (EUR)]] - Transactions01[[#This Row],[Projected Amount (EUR)]]</f>
        <v>0</v>
      </c>
      <c r="I181" s="5"/>
      <c r="K181" s="5"/>
    </row>
    <row r="182" spans="1:11" ht="20.100000000000001" customHeight="1" x14ac:dyDescent="0.25">
      <c r="A182" s="10" cm="1">
        <f t="array" ref="A182">CONVERT2EUR(Transactions01[[#This Row],[Projected Currency]], Transactions01[[#This Row],[Projected Amount]])</f>
        <v>0</v>
      </c>
      <c r="B182" s="10" cm="1">
        <f t="array" ref="B182">CONVERT2EUR(Transactions01[[#This Row],[Actual Currency]], Transactions01[[#This Row],[Actual Amount]])</f>
        <v>0</v>
      </c>
      <c r="C182" s="10">
        <f>Transactions01[[#This Row],[Actual Amount (EUR)]] - Transactions01[[#This Row],[Projected Amount (EUR)]]</f>
        <v>0</v>
      </c>
      <c r="I182" s="5"/>
      <c r="K182" s="5"/>
    </row>
    <row r="183" spans="1:11" ht="20.100000000000001" customHeight="1" x14ac:dyDescent="0.25">
      <c r="A183" s="10" cm="1">
        <f t="array" ref="A183">CONVERT2EUR(Transactions01[[#This Row],[Projected Currency]], Transactions01[[#This Row],[Projected Amount]])</f>
        <v>0</v>
      </c>
      <c r="B183" s="10" cm="1">
        <f t="array" ref="B183">CONVERT2EUR(Transactions01[[#This Row],[Actual Currency]], Transactions01[[#This Row],[Actual Amount]])</f>
        <v>0</v>
      </c>
      <c r="C183" s="10">
        <f>Transactions01[[#This Row],[Actual Amount (EUR)]] - Transactions01[[#This Row],[Projected Amount (EUR)]]</f>
        <v>0</v>
      </c>
      <c r="I183" s="5"/>
      <c r="K183" s="5"/>
    </row>
    <row r="184" spans="1:11" ht="20.100000000000001" customHeight="1" x14ac:dyDescent="0.25">
      <c r="A184" s="10" cm="1">
        <f t="array" ref="A184">CONVERT2EUR(Transactions01[[#This Row],[Projected Currency]], Transactions01[[#This Row],[Projected Amount]])</f>
        <v>0</v>
      </c>
      <c r="B184" s="10" cm="1">
        <f t="array" ref="B184">CONVERT2EUR(Transactions01[[#This Row],[Actual Currency]], Transactions01[[#This Row],[Actual Amount]])</f>
        <v>0</v>
      </c>
      <c r="C184" s="10">
        <f>Transactions01[[#This Row],[Actual Amount (EUR)]] - Transactions01[[#This Row],[Projected Amount (EUR)]]</f>
        <v>0</v>
      </c>
      <c r="I184" s="5"/>
      <c r="K184" s="5"/>
    </row>
    <row r="185" spans="1:11" ht="20.100000000000001" customHeight="1" x14ac:dyDescent="0.25">
      <c r="A185" s="10" cm="1">
        <f t="array" ref="A185">CONVERT2EUR(Transactions01[[#This Row],[Projected Currency]], Transactions01[[#This Row],[Projected Amount]])</f>
        <v>0</v>
      </c>
      <c r="B185" s="10" cm="1">
        <f t="array" ref="B185">CONVERT2EUR(Transactions01[[#This Row],[Actual Currency]], Transactions01[[#This Row],[Actual Amount]])</f>
        <v>0</v>
      </c>
      <c r="C185" s="10">
        <f>Transactions01[[#This Row],[Actual Amount (EUR)]] - Transactions01[[#This Row],[Projected Amount (EUR)]]</f>
        <v>0</v>
      </c>
      <c r="I185" s="5"/>
      <c r="K185" s="5"/>
    </row>
    <row r="186" spans="1:11" ht="20.100000000000001" customHeight="1" x14ac:dyDescent="0.25">
      <c r="A186" s="10" cm="1">
        <f t="array" ref="A186">CONVERT2EUR(Transactions01[[#This Row],[Projected Currency]], Transactions01[[#This Row],[Projected Amount]])</f>
        <v>0</v>
      </c>
      <c r="B186" s="10" cm="1">
        <f t="array" ref="B186">CONVERT2EUR(Transactions01[[#This Row],[Actual Currency]], Transactions01[[#This Row],[Actual Amount]])</f>
        <v>0</v>
      </c>
      <c r="C186" s="10">
        <f>Transactions01[[#This Row],[Actual Amount (EUR)]] - Transactions01[[#This Row],[Projected Amount (EUR)]]</f>
        <v>0</v>
      </c>
      <c r="I186" s="5"/>
      <c r="K186" s="5"/>
    </row>
    <row r="187" spans="1:11" ht="20.100000000000001" customHeight="1" x14ac:dyDescent="0.25">
      <c r="A187" s="10" cm="1">
        <f t="array" ref="A187">CONVERT2EUR(Transactions01[[#This Row],[Projected Currency]], Transactions01[[#This Row],[Projected Amount]])</f>
        <v>0</v>
      </c>
      <c r="B187" s="10" cm="1">
        <f t="array" ref="B187">CONVERT2EUR(Transactions01[[#This Row],[Actual Currency]], Transactions01[[#This Row],[Actual Amount]])</f>
        <v>0</v>
      </c>
      <c r="C187" s="10">
        <f>Transactions01[[#This Row],[Actual Amount (EUR)]] - Transactions01[[#This Row],[Projected Amount (EUR)]]</f>
        <v>0</v>
      </c>
      <c r="I187" s="5"/>
      <c r="K187" s="5"/>
    </row>
    <row r="188" spans="1:11" ht="20.100000000000001" customHeight="1" x14ac:dyDescent="0.25">
      <c r="A188" s="10" cm="1">
        <f t="array" ref="A188">CONVERT2EUR(Transactions01[[#This Row],[Projected Currency]], Transactions01[[#This Row],[Projected Amount]])</f>
        <v>0</v>
      </c>
      <c r="B188" s="10" cm="1">
        <f t="array" ref="B188">CONVERT2EUR(Transactions01[[#This Row],[Actual Currency]], Transactions01[[#This Row],[Actual Amount]])</f>
        <v>0</v>
      </c>
      <c r="C188" s="10">
        <f>Transactions01[[#This Row],[Actual Amount (EUR)]] - Transactions01[[#This Row],[Projected Amount (EUR)]]</f>
        <v>0</v>
      </c>
      <c r="I188" s="5"/>
      <c r="K188" s="5"/>
    </row>
    <row r="189" spans="1:11" ht="20.100000000000001" customHeight="1" x14ac:dyDescent="0.25">
      <c r="A189" s="10" cm="1">
        <f t="array" ref="A189">CONVERT2EUR(Transactions01[[#This Row],[Projected Currency]], Transactions01[[#This Row],[Projected Amount]])</f>
        <v>0</v>
      </c>
      <c r="B189" s="10" cm="1">
        <f t="array" ref="B189">CONVERT2EUR(Transactions01[[#This Row],[Actual Currency]], Transactions01[[#This Row],[Actual Amount]])</f>
        <v>0</v>
      </c>
      <c r="C189" s="10">
        <f>Transactions01[[#This Row],[Actual Amount (EUR)]] - Transactions01[[#This Row],[Projected Amount (EUR)]]</f>
        <v>0</v>
      </c>
      <c r="I189" s="5"/>
      <c r="K189" s="5"/>
    </row>
    <row r="190" spans="1:11" ht="20.100000000000001" customHeight="1" x14ac:dyDescent="0.25">
      <c r="A190" s="10" cm="1">
        <f t="array" ref="A190">CONVERT2EUR(Transactions01[[#This Row],[Projected Currency]], Transactions01[[#This Row],[Projected Amount]])</f>
        <v>0</v>
      </c>
      <c r="B190" s="10" cm="1">
        <f t="array" ref="B190">CONVERT2EUR(Transactions01[[#This Row],[Actual Currency]], Transactions01[[#This Row],[Actual Amount]])</f>
        <v>0</v>
      </c>
      <c r="C190" s="10">
        <f>Transactions01[[#This Row],[Actual Amount (EUR)]] - Transactions01[[#This Row],[Projected Amount (EUR)]]</f>
        <v>0</v>
      </c>
      <c r="I190" s="5"/>
      <c r="K190" s="5"/>
    </row>
    <row r="191" spans="1:11" ht="20.100000000000001" customHeight="1" x14ac:dyDescent="0.25">
      <c r="A191" s="10" cm="1">
        <f t="array" ref="A191">CONVERT2EUR(Transactions01[[#This Row],[Projected Currency]], Transactions01[[#This Row],[Projected Amount]])</f>
        <v>0</v>
      </c>
      <c r="B191" s="10" cm="1">
        <f t="array" ref="B191">CONVERT2EUR(Transactions01[[#This Row],[Actual Currency]], Transactions01[[#This Row],[Actual Amount]])</f>
        <v>0</v>
      </c>
      <c r="C191" s="10">
        <f>Transactions01[[#This Row],[Actual Amount (EUR)]] - Transactions01[[#This Row],[Projected Amount (EUR)]]</f>
        <v>0</v>
      </c>
      <c r="I191" s="5"/>
      <c r="K191" s="5"/>
    </row>
    <row r="192" spans="1:11" ht="20.100000000000001" customHeight="1" x14ac:dyDescent="0.25">
      <c r="A192" s="10" cm="1">
        <f t="array" ref="A192">CONVERT2EUR(Transactions01[[#This Row],[Projected Currency]], Transactions01[[#This Row],[Projected Amount]])</f>
        <v>0</v>
      </c>
      <c r="B192" s="10" cm="1">
        <f t="array" ref="B192">CONVERT2EUR(Transactions01[[#This Row],[Actual Currency]], Transactions01[[#This Row],[Actual Amount]])</f>
        <v>0</v>
      </c>
      <c r="C192" s="10">
        <f>Transactions01[[#This Row],[Actual Amount (EUR)]] - Transactions01[[#This Row],[Projected Amount (EUR)]]</f>
        <v>0</v>
      </c>
      <c r="I192" s="5"/>
      <c r="K192" s="5"/>
    </row>
    <row r="193" spans="1:11" ht="20.100000000000001" customHeight="1" x14ac:dyDescent="0.25">
      <c r="A193" s="10" cm="1">
        <f t="array" ref="A193">CONVERT2EUR(Transactions01[[#This Row],[Projected Currency]], Transactions01[[#This Row],[Projected Amount]])</f>
        <v>0</v>
      </c>
      <c r="B193" s="10" cm="1">
        <f t="array" ref="B193">CONVERT2EUR(Transactions01[[#This Row],[Actual Currency]], Transactions01[[#This Row],[Actual Amount]])</f>
        <v>0</v>
      </c>
      <c r="C193" s="10">
        <f>Transactions01[[#This Row],[Actual Amount (EUR)]] - Transactions01[[#This Row],[Projected Amount (EUR)]]</f>
        <v>0</v>
      </c>
      <c r="I193" s="5"/>
      <c r="K193" s="5"/>
    </row>
    <row r="194" spans="1:11" ht="20.100000000000001" customHeight="1" x14ac:dyDescent="0.25">
      <c r="A194" s="10" cm="1">
        <f t="array" ref="A194">CONVERT2EUR(Transactions01[[#This Row],[Projected Currency]], Transactions01[[#This Row],[Projected Amount]])</f>
        <v>0</v>
      </c>
      <c r="B194" s="10" cm="1">
        <f t="array" ref="B194">CONVERT2EUR(Transactions01[[#This Row],[Actual Currency]], Transactions01[[#This Row],[Actual Amount]])</f>
        <v>0</v>
      </c>
      <c r="C194" s="10">
        <f>Transactions01[[#This Row],[Actual Amount (EUR)]] - Transactions01[[#This Row],[Projected Amount (EUR)]]</f>
        <v>0</v>
      </c>
      <c r="I194" s="5"/>
      <c r="K194" s="5"/>
    </row>
    <row r="195" spans="1:11" ht="20.100000000000001" customHeight="1" x14ac:dyDescent="0.25">
      <c r="A195" s="10" cm="1">
        <f t="array" ref="A195">CONVERT2EUR(Transactions01[[#This Row],[Projected Currency]], Transactions01[[#This Row],[Projected Amount]])</f>
        <v>0</v>
      </c>
      <c r="B195" s="10" cm="1">
        <f t="array" ref="B195">CONVERT2EUR(Transactions01[[#This Row],[Actual Currency]], Transactions01[[#This Row],[Actual Amount]])</f>
        <v>0</v>
      </c>
      <c r="C195" s="10">
        <f>Transactions01[[#This Row],[Actual Amount (EUR)]] - Transactions01[[#This Row],[Projected Amount (EUR)]]</f>
        <v>0</v>
      </c>
      <c r="I195" s="5"/>
      <c r="K195" s="5"/>
    </row>
    <row r="196" spans="1:11" ht="20.100000000000001" customHeight="1" x14ac:dyDescent="0.25">
      <c r="A196" s="10" cm="1">
        <f t="array" ref="A196">CONVERT2EUR(Transactions01[[#This Row],[Projected Currency]], Transactions01[[#This Row],[Projected Amount]])</f>
        <v>0</v>
      </c>
      <c r="B196" s="10" cm="1">
        <f t="array" ref="B196">CONVERT2EUR(Transactions01[[#This Row],[Actual Currency]], Transactions01[[#This Row],[Actual Amount]])</f>
        <v>0</v>
      </c>
      <c r="C196" s="10">
        <f>Transactions01[[#This Row],[Actual Amount (EUR)]] - Transactions01[[#This Row],[Projected Amount (EUR)]]</f>
        <v>0</v>
      </c>
      <c r="I196" s="5"/>
      <c r="K196" s="5"/>
    </row>
    <row r="197" spans="1:11" ht="20.100000000000001" customHeight="1" x14ac:dyDescent="0.25">
      <c r="A197" s="10" cm="1">
        <f t="array" ref="A197">CONVERT2EUR(Transactions01[[#This Row],[Projected Currency]], Transactions01[[#This Row],[Projected Amount]])</f>
        <v>0</v>
      </c>
      <c r="B197" s="10" cm="1">
        <f t="array" ref="B197">CONVERT2EUR(Transactions01[[#This Row],[Actual Currency]], Transactions01[[#This Row],[Actual Amount]])</f>
        <v>0</v>
      </c>
      <c r="C197" s="10">
        <f>Transactions01[[#This Row],[Actual Amount (EUR)]] - Transactions01[[#This Row],[Projected Amount (EUR)]]</f>
        <v>0</v>
      </c>
      <c r="I197" s="5"/>
      <c r="K197" s="5"/>
    </row>
    <row r="198" spans="1:11" ht="20.100000000000001" customHeight="1" x14ac:dyDescent="0.25">
      <c r="A198" s="10" cm="1">
        <f t="array" ref="A198">CONVERT2EUR(Transactions01[[#This Row],[Projected Currency]], Transactions01[[#This Row],[Projected Amount]])</f>
        <v>0</v>
      </c>
      <c r="B198" s="10" cm="1">
        <f t="array" ref="B198">CONVERT2EUR(Transactions01[[#This Row],[Actual Currency]], Transactions01[[#This Row],[Actual Amount]])</f>
        <v>0</v>
      </c>
      <c r="C198" s="10">
        <f>Transactions01[[#This Row],[Actual Amount (EUR)]] - Transactions01[[#This Row],[Projected Amount (EUR)]]</f>
        <v>0</v>
      </c>
      <c r="I198" s="5"/>
      <c r="K198" s="5"/>
    </row>
    <row r="199" spans="1:11" ht="20.100000000000001" customHeight="1" x14ac:dyDescent="0.25">
      <c r="A199" s="10" cm="1">
        <f t="array" ref="A199">CONVERT2EUR(Transactions01[[#This Row],[Projected Currency]], Transactions01[[#This Row],[Projected Amount]])</f>
        <v>0</v>
      </c>
      <c r="B199" s="10" cm="1">
        <f t="array" ref="B199">CONVERT2EUR(Transactions01[[#This Row],[Actual Currency]], Transactions01[[#This Row],[Actual Amount]])</f>
        <v>0</v>
      </c>
      <c r="C199" s="10">
        <f>Transactions01[[#This Row],[Actual Amount (EUR)]] - Transactions01[[#This Row],[Projected Amount (EUR)]]</f>
        <v>0</v>
      </c>
      <c r="I199" s="5"/>
      <c r="K199" s="5"/>
    </row>
  </sheetData>
  <mergeCells count="5">
    <mergeCell ref="A1:B1"/>
    <mergeCell ref="A10:B10"/>
    <mergeCell ref="A19:B19"/>
    <mergeCell ref="A29:B29"/>
    <mergeCell ref="A41:B41"/>
  </mergeCells>
  <conditionalFormatting sqref="A13:C14">
    <cfRule type="cellIs" dxfId="11" priority="63" operator="lessThan">
      <formula>0</formula>
    </cfRule>
    <cfRule type="cellIs" dxfId="10" priority="69" operator="greaterThanOrEqual">
      <formula>0</formula>
    </cfRule>
  </conditionalFormatting>
  <conditionalFormatting sqref="A16:B16">
    <cfRule type="cellIs" dxfId="9" priority="67" operator="notBetween">
      <formula>-0.01</formula>
      <formula>0.01</formula>
    </cfRule>
  </conditionalFormatting>
  <conditionalFormatting sqref="A22:B26">
    <cfRule type="cellIs" dxfId="8" priority="66" operator="notBetween">
      <formula>-0.01</formula>
      <formula>0.01</formula>
    </cfRule>
  </conditionalFormatting>
  <conditionalFormatting sqref="E7">
    <cfRule type="cellIs" dxfId="7" priority="65" operator="notEqual">
      <formula>1</formula>
    </cfRule>
  </conditionalFormatting>
  <conditionalFormatting sqref="E4:E6 D44:K199">
    <cfRule type="containsBlanks" dxfId="6" priority="64">
      <formula>LEN(TRIM(D4))=0</formula>
    </cfRule>
  </conditionalFormatting>
  <conditionalFormatting sqref="C33:C34">
    <cfRule type="cellIs" dxfId="5" priority="58" operator="greaterThan">
      <formula>0</formula>
    </cfRule>
    <cfRule type="cellIs" dxfId="4" priority="59" operator="lessThanOrEqual">
      <formula>0</formula>
    </cfRule>
  </conditionalFormatting>
  <conditionalFormatting sqref="C32">
    <cfRule type="cellIs" dxfId="3" priority="60" operator="lessThan">
      <formula>0</formula>
    </cfRule>
    <cfRule type="cellIs" dxfId="2" priority="61" operator="greaterThanOrEqual">
      <formula>0</formula>
    </cfRule>
  </conditionalFormatting>
  <conditionalFormatting sqref="A15:C15">
    <cfRule type="cellIs" dxfId="1" priority="62" operator="greaterThan">
      <formula>0</formula>
    </cfRule>
    <cfRule type="cellIs" dxfId="0" priority="68" operator="lessThanOrEqual">
      <formula>0</formula>
    </cfRule>
  </conditionalFormatting>
  <dataValidations count="6">
    <dataValidation type="list" allowBlank="1" showInputMessage="1" showErrorMessage="1" sqref="F39:F40" xr:uid="{B2642746-0999-4D41-ACF7-BCD47CF066ED}">
      <formula1>"Income, Need, Want, Investment, Any"</formula1>
    </dataValidation>
    <dataValidation type="list" allowBlank="1" showInputMessage="1" showErrorMessage="1" sqref="A39:A40" xr:uid="{153CBF09-98C1-6342-BDE7-05776ACBB62E}">
      <formula1>"EUR"</formula1>
    </dataValidation>
    <dataValidation type="list" allowBlank="1" showInputMessage="1" showErrorMessage="1" sqref="D13:D15 D4:D6" xr:uid="{CA35A07B-6ED7-E14B-8205-569A4F6A3CCE}">
      <formula1>"Need, Want, Investment"</formula1>
    </dataValidation>
    <dataValidation type="list" allowBlank="1" showInputMessage="1" showErrorMessage="1" sqref="E39:E40 D44:D199" xr:uid="{6EE8FD78-5C57-7243-819C-59F40DEB05F5}">
      <formula1>"Income, Expense, Saving"</formula1>
    </dataValidation>
    <dataValidation type="list" allowBlank="1" showInputMessage="1" showErrorMessage="1" sqref="E44:E199" xr:uid="{A4EA07DF-8113-BF4C-A9A0-CC098D88FCD8}">
      <formula1>"Need, Want, Investment, Income"</formula1>
    </dataValidation>
    <dataValidation type="list" allowBlank="1" showInputMessage="1" showErrorMessage="1" sqref="H44:H199 J44:J199" xr:uid="{F9D7E354-2823-A943-9BED-C5BF28754CA8}">
      <formula1>$D$22:$D$26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5D9F3-A25F-492D-A03F-B41FA4521DA6}">
  <sheetPr codeName="Sheet14"/>
  <dimension ref="A1:I95"/>
  <sheetViews>
    <sheetView zoomScaleNormal="100" workbookViewId="0">
      <selection activeCell="C14" sqref="C14"/>
    </sheetView>
  </sheetViews>
  <sheetFormatPr defaultColWidth="8.85546875" defaultRowHeight="15" x14ac:dyDescent="0.25"/>
  <cols>
    <col min="1" max="1" width="50.7109375" customWidth="1"/>
    <col min="2" max="26" width="15.7109375" customWidth="1"/>
  </cols>
  <sheetData>
    <row r="1" spans="1:9" ht="20.100000000000001" customHeight="1" x14ac:dyDescent="0.25">
      <c r="A1" t="s">
        <v>19</v>
      </c>
      <c r="B1" t="s">
        <v>18</v>
      </c>
      <c r="C1" t="s">
        <v>3</v>
      </c>
      <c r="D1" t="s">
        <v>16</v>
      </c>
    </row>
    <row r="2" spans="1:9" ht="20.100000000000001" customHeight="1" x14ac:dyDescent="0.25">
      <c r="A2" t="e" vm="1">
        <v>#VALUE!</v>
      </c>
      <c r="B2" t="str" cm="1">
        <f t="array" ref="B2">_FV(ExchangeRate[[#This Row],[Conversion]],"From currency",TRUE)</f>
        <v>SEK</v>
      </c>
      <c r="C2" t="str" cm="1">
        <f t="array" ref="C2">_FV(ExchangeRate[[#This Row],[Conversion]],"Currency")</f>
        <v>EUR</v>
      </c>
      <c r="D2" s="6" cm="1">
        <f t="array" ref="D2">_FV(ExchangeRate[[#This Row],[Conversion]],"Price")</f>
        <v>8.7800000000000003E-2</v>
      </c>
    </row>
    <row r="3" spans="1:9" ht="20.100000000000001" customHeight="1" x14ac:dyDescent="0.25">
      <c r="A3" t="e" vm="2">
        <v>#VALUE!</v>
      </c>
      <c r="B3" t="str" cm="1">
        <f t="array" ref="B3">_FV(ExchangeRate[[#This Row],[Conversion]],"From currency",TRUE)</f>
        <v>BTC</v>
      </c>
      <c r="C3" t="str" cm="1">
        <f t="array" ref="C3">_FV(ExchangeRate[[#This Row],[Conversion]],"Currency")</f>
        <v>EUR</v>
      </c>
      <c r="D3" s="6" cm="1">
        <f t="array" ref="D3">_FV(ExchangeRate[[#This Row],[Conversion]],"Price")</f>
        <v>24938.7641</v>
      </c>
    </row>
    <row r="4" spans="1:9" ht="20.100000000000001" customHeight="1" x14ac:dyDescent="0.25">
      <c r="A4" t="e" vm="3">
        <v>#VALUE!</v>
      </c>
      <c r="B4" t="str" cm="1">
        <f t="array" ref="B4">_FV(ExchangeRate[[#This Row],[Conversion]],"From currency",TRUE)</f>
        <v>ETH</v>
      </c>
      <c r="C4" t="str" cm="1">
        <f t="array" ref="C4">_FV(ExchangeRate[[#This Row],[Conversion]],"Currency")</f>
        <v>EUR</v>
      </c>
      <c r="D4" s="5" cm="1">
        <f t="array" ref="D4">_FV(ExchangeRate[[#This Row],[Conversion]],"Price")</f>
        <v>1678.4559999999999</v>
      </c>
    </row>
    <row r="5" spans="1:9" ht="20.100000000000001" customHeight="1" x14ac:dyDescent="0.25"/>
    <row r="6" spans="1:9" ht="20.100000000000001" customHeight="1" x14ac:dyDescent="0.25">
      <c r="I6" s="6"/>
    </row>
    <row r="7" spans="1:9" ht="20.100000000000001" customHeight="1" x14ac:dyDescent="0.25">
      <c r="A7" t="s">
        <v>17</v>
      </c>
      <c r="B7" t="s">
        <v>3</v>
      </c>
      <c r="C7" t="s">
        <v>16</v>
      </c>
    </row>
    <row r="8" spans="1:9" ht="20.100000000000001" customHeight="1" x14ac:dyDescent="0.25">
      <c r="A8" t="e" vm="4">
        <v>#VALUE!</v>
      </c>
      <c r="B8" t="str" cm="1">
        <f t="array" ref="B8">_FV(Shares[[#This Row],[Share]],"Currency")</f>
        <v>SEK</v>
      </c>
      <c r="C8" s="6" cm="1">
        <f t="array" ref="C8">_FV(Shares[[#This Row],[Share]],"Price")</f>
        <v>54.17</v>
      </c>
    </row>
    <row r="9" spans="1:9" ht="20.100000000000001" customHeight="1" x14ac:dyDescent="0.25"/>
    <row r="10" spans="1:9" ht="20.100000000000001" customHeight="1" x14ac:dyDescent="0.25"/>
    <row r="11" spans="1:9" ht="20.100000000000001" customHeight="1" x14ac:dyDescent="0.25"/>
    <row r="12" spans="1:9" ht="20.100000000000001" customHeight="1" x14ac:dyDescent="0.25"/>
    <row r="13" spans="1:9" ht="20.100000000000001" customHeight="1" x14ac:dyDescent="0.25"/>
    <row r="14" spans="1:9" ht="20.100000000000001" customHeight="1" x14ac:dyDescent="0.25"/>
    <row r="15" spans="1:9" ht="20.100000000000001" customHeight="1" x14ac:dyDescent="0.25"/>
    <row r="16" spans="1:9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</vt:lpstr>
      <vt:lpstr>Exchange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Ruggeri</dc:creator>
  <cp:lastModifiedBy>Franco Ruggeri</cp:lastModifiedBy>
  <dcterms:created xsi:type="dcterms:W3CDTF">2015-06-05T18:17:20Z</dcterms:created>
  <dcterms:modified xsi:type="dcterms:W3CDTF">2023-05-18T22:29:46Z</dcterms:modified>
</cp:coreProperties>
</file>