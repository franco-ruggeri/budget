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Projects\budget\data\"/>
    </mc:Choice>
  </mc:AlternateContent>
  <xr:revisionPtr revIDLastSave="0" documentId="13_ncr:1_{347E8664-07CC-4167-90FB-1C7FC97AB0C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" sheetId="19" r:id="rId1"/>
    <sheet name="Exchange rat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9" l="1"/>
  <c r="B26" i="19"/>
  <c r="B25" i="19"/>
  <c r="B24" i="19"/>
  <c r="B23" i="19"/>
  <c r="B22" i="19"/>
  <c r="B36" i="19"/>
  <c r="A36" i="19"/>
  <c r="A27" i="19"/>
  <c r="A26" i="19"/>
  <c r="A25" i="19"/>
  <c r="A24" i="19"/>
  <c r="A22" i="19"/>
  <c r="E7" i="19"/>
  <c r="A199" i="19" a="1"/>
  <c r="B199" i="19" a="1"/>
  <c r="A104" i="19" a="1"/>
  <c r="A112" i="19" a="1"/>
  <c r="A120" i="19" a="1"/>
  <c r="A128" i="19" a="1"/>
  <c r="A136" i="19" a="1"/>
  <c r="A144" i="19" a="1"/>
  <c r="B104" i="19" a="1"/>
  <c r="B112" i="19" a="1"/>
  <c r="B120" i="19" a="1"/>
  <c r="B128" i="19" a="1"/>
  <c r="B136" i="19" a="1"/>
  <c r="B144" i="19" a="1"/>
  <c r="B140" i="19" a="1"/>
  <c r="A109" i="19" a="1"/>
  <c r="A133" i="19" a="1"/>
  <c r="A149" i="19" a="1"/>
  <c r="B117" i="19" a="1"/>
  <c r="B133" i="19" a="1"/>
  <c r="B149" i="19" a="1"/>
  <c r="A118" i="19" a="1"/>
  <c r="A126" i="19" a="1"/>
  <c r="A134" i="19" a="1"/>
  <c r="A142" i="19" a="1"/>
  <c r="B110" i="19" a="1"/>
  <c r="B118" i="19" a="1"/>
  <c r="B134" i="19" a="1"/>
  <c r="B150" i="19" a="1"/>
  <c r="A108" i="19" a="1"/>
  <c r="B132" i="19" a="1"/>
  <c r="A110" i="19" a="1"/>
  <c r="A150" i="19" a="1"/>
  <c r="B126" i="19" a="1"/>
  <c r="B142" i="19" a="1"/>
  <c r="B143" i="19" a="1"/>
  <c r="A105" i="19" a="1"/>
  <c r="A113" i="19" a="1"/>
  <c r="A121" i="19" a="1"/>
  <c r="A129" i="19" a="1"/>
  <c r="A137" i="19" a="1"/>
  <c r="A145" i="19" a="1"/>
  <c r="B105" i="19" a="1"/>
  <c r="B113" i="19" a="1"/>
  <c r="B121" i="19" a="1"/>
  <c r="B129" i="19" a="1"/>
  <c r="B137" i="19" a="1"/>
  <c r="B145" i="19" a="1"/>
  <c r="A116" i="19" a="1"/>
  <c r="A132" i="19" a="1"/>
  <c r="A140" i="19" a="1"/>
  <c r="B108" i="19" a="1"/>
  <c r="B124" i="19" a="1"/>
  <c r="A117" i="19" a="1"/>
  <c r="A125" i="19" a="1"/>
  <c r="A141" i="19" a="1"/>
  <c r="B109" i="19" a="1"/>
  <c r="B125" i="19" a="1"/>
  <c r="B141" i="19" a="1"/>
  <c r="A111" i="19" a="1"/>
  <c r="A151" i="19" a="1"/>
  <c r="B127" i="19" a="1"/>
  <c r="B151" i="19" a="1"/>
  <c r="A106" i="19" a="1"/>
  <c r="A114" i="19" a="1"/>
  <c r="A122" i="19" a="1"/>
  <c r="A130" i="19" a="1"/>
  <c r="A138" i="19" a="1"/>
  <c r="A146" i="19" a="1"/>
  <c r="B106" i="19" a="1"/>
  <c r="B114" i="19" a="1"/>
  <c r="B122" i="19" a="1"/>
  <c r="B130" i="19" a="1"/>
  <c r="B138" i="19" a="1"/>
  <c r="B146" i="19" a="1"/>
  <c r="A107" i="19" a="1"/>
  <c r="A115" i="19" a="1"/>
  <c r="A123" i="19" a="1"/>
  <c r="A131" i="19" a="1"/>
  <c r="A139" i="19" a="1"/>
  <c r="A147" i="19" a="1"/>
  <c r="B107" i="19" a="1"/>
  <c r="B115" i="19" a="1"/>
  <c r="B123" i="19" a="1"/>
  <c r="B131" i="19" a="1"/>
  <c r="B139" i="19" a="1"/>
  <c r="B147" i="19" a="1"/>
  <c r="A124" i="19" a="1"/>
  <c r="A148" i="19" a="1"/>
  <c r="B116" i="19" a="1"/>
  <c r="B148" i="19" a="1"/>
  <c r="A119" i="19" a="1"/>
  <c r="A127" i="19" a="1"/>
  <c r="A135" i="19" a="1"/>
  <c r="A143" i="19" a="1"/>
  <c r="B111" i="19" a="1"/>
  <c r="B119" i="19" a="1"/>
  <c r="B135" i="19" a="1"/>
  <c r="A50" i="19" a="1"/>
  <c r="A58" i="19" a="1"/>
  <c r="A66" i="19" a="1"/>
  <c r="A74" i="19" a="1"/>
  <c r="A82" i="19" a="1"/>
  <c r="A90" i="19" a="1"/>
  <c r="A98" i="19" a="1"/>
  <c r="B55" i="19" a="1"/>
  <c r="B63" i="19" a="1"/>
  <c r="B71" i="19" a="1"/>
  <c r="B79" i="19" a="1"/>
  <c r="B87" i="19" a="1"/>
  <c r="B95" i="19" a="1"/>
  <c r="A152" i="19" a="1"/>
  <c r="A102" i="19" a="1"/>
  <c r="B169" i="19" a="1"/>
  <c r="A159" i="19" a="1"/>
  <c r="A184" i="19" a="1"/>
  <c r="A185" i="19" a="1"/>
  <c r="B192" i="19" a="1"/>
  <c r="A76" i="19" a="1"/>
  <c r="A92" i="19" a="1"/>
  <c r="B73" i="19" a="1"/>
  <c r="B97" i="19" a="1"/>
  <c r="A164" i="19" a="1"/>
  <c r="A186" i="19" a="1"/>
  <c r="B160" i="19" a="1"/>
  <c r="B49" i="19" a="1"/>
  <c r="A162" i="19" a="1"/>
  <c r="A181" i="19" a="1"/>
  <c r="A200" i="19" a="1"/>
  <c r="A69" i="19" a="1"/>
  <c r="A85" i="19" a="1"/>
  <c r="B50" i="19" a="1"/>
  <c r="B74" i="19" a="1"/>
  <c r="B98" i="19" a="1"/>
  <c r="A179" i="19" a="1"/>
  <c r="A62" i="19" a="1"/>
  <c r="B67" i="19" a="1"/>
  <c r="B99" i="19" a="1"/>
  <c r="B167" i="19" a="1"/>
  <c r="B154" i="19" a="1"/>
  <c r="A187" i="19" a="1"/>
  <c r="A46" i="19" a="1"/>
  <c r="B162" i="19" a="1"/>
  <c r="B179" i="19" a="1"/>
  <c r="A55" i="19" a="1"/>
  <c r="A79" i="19" a="1"/>
  <c r="A95" i="19" a="1"/>
  <c r="B68" i="19" a="1"/>
  <c r="B84" i="19" a="1"/>
  <c r="A72" i="19" a="1"/>
  <c r="B53" i="19" a="1"/>
  <c r="B85" i="19" a="1"/>
  <c r="A157" i="19" a="1"/>
  <c r="A165" i="19" a="1"/>
  <c r="B196" i="19" a="1"/>
  <c r="B46" i="19" a="1"/>
  <c r="B180" i="19" a="1"/>
  <c r="A81" i="19" a="1"/>
  <c r="B54" i="19" a="1"/>
  <c r="B78" i="19" a="1"/>
  <c r="B198" i="19" a="1"/>
  <c r="A190" i="19" a="1"/>
  <c r="B161" i="19" a="1"/>
  <c r="A177" i="19" a="1"/>
  <c r="A160" i="19" a="1"/>
  <c r="A166" i="19" a="1"/>
  <c r="A48" i="19" a="1"/>
  <c r="A175" i="19" a="1"/>
  <c r="B176" i="19" a="1"/>
  <c r="B182" i="19" a="1"/>
  <c r="B197" i="19" a="1"/>
  <c r="A68" i="19" a="1"/>
  <c r="B65" i="19" a="1"/>
  <c r="B174" i="19" a="1"/>
  <c r="B185" i="19" a="1"/>
  <c r="A103" i="19" a="1"/>
  <c r="B178" i="19" a="1"/>
  <c r="A61" i="19" a="1"/>
  <c r="A77" i="19" a="1"/>
  <c r="A93" i="19" a="1"/>
  <c r="B58" i="19" a="1"/>
  <c r="B90" i="19" a="1"/>
  <c r="B168" i="19" a="1"/>
  <c r="A170" i="19" a="1"/>
  <c r="B186" i="19" a="1"/>
  <c r="B155" i="19" a="1"/>
  <c r="A163" i="19" a="1"/>
  <c r="A182" i="19" a="1"/>
  <c r="A194" i="19" a="1"/>
  <c r="A63" i="19" a="1"/>
  <c r="A87" i="19" a="1"/>
  <c r="B52" i="19" a="1"/>
  <c r="B76" i="19" a="1"/>
  <c r="B100" i="19" a="1"/>
  <c r="A49" i="19" a="1"/>
  <c r="B194" i="19" a="1"/>
  <c r="B101" i="19" a="1"/>
  <c r="A57" i="19" a="1"/>
  <c r="B86" i="19" a="1"/>
  <c r="B153" i="19" a="1"/>
  <c r="A191" i="19" a="1"/>
  <c r="B173" i="19" a="1"/>
  <c r="A176" i="19" a="1"/>
  <c r="A192" i="19" a="1"/>
  <c r="A51" i="19" a="1"/>
  <c r="A59" i="19" a="1"/>
  <c r="A67" i="19" a="1"/>
  <c r="A75" i="19" a="1"/>
  <c r="A83" i="19" a="1"/>
  <c r="A91" i="19" a="1"/>
  <c r="A99" i="19" a="1"/>
  <c r="B56" i="19" a="1"/>
  <c r="B64" i="19" a="1"/>
  <c r="B72" i="19" a="1"/>
  <c r="B80" i="19" a="1"/>
  <c r="B88" i="19" a="1"/>
  <c r="B96" i="19" a="1"/>
  <c r="A168" i="19" a="1"/>
  <c r="A174" i="19" a="1"/>
  <c r="B48" i="19" a="1"/>
  <c r="B175" i="19" a="1"/>
  <c r="B184" i="19" a="1"/>
  <c r="B183" i="19" a="1"/>
  <c r="B200" i="19" a="1"/>
  <c r="A60" i="19" a="1"/>
  <c r="B57" i="19" a="1"/>
  <c r="B89" i="19" a="1"/>
  <c r="A53" i="19" a="1"/>
  <c r="B82" i="19" a="1"/>
  <c r="A167" i="19" a="1"/>
  <c r="A189" i="19" a="1"/>
  <c r="B103" i="19" a="1"/>
  <c r="B47" i="19" a="1"/>
  <c r="B193" i="19" a="1"/>
  <c r="A70" i="19" a="1"/>
  <c r="A86" i="19" a="1"/>
  <c r="B51" i="19" a="1"/>
  <c r="B75" i="19" a="1"/>
  <c r="B91" i="19" a="1"/>
  <c r="A171" i="19" a="1"/>
  <c r="B166" i="19" a="1"/>
  <c r="B189" i="19" a="1"/>
  <c r="A195" i="19" a="1"/>
  <c r="A153" i="19" a="1"/>
  <c r="B170" i="19" a="1"/>
  <c r="B187" i="19" a="1"/>
  <c r="A161" i="19" a="1"/>
  <c r="A156" i="19" a="1"/>
  <c r="A180" i="19" a="1"/>
  <c r="A64" i="19" a="1"/>
  <c r="A80" i="19" a="1"/>
  <c r="A96" i="19" a="1"/>
  <c r="B69" i="19" a="1"/>
  <c r="B93" i="19" a="1"/>
  <c r="A169" i="19" a="1"/>
  <c r="B191" i="19" a="1"/>
  <c r="A198" i="19" a="1"/>
  <c r="B188" i="19" a="1"/>
  <c r="A73" i="19" a="1"/>
  <c r="A97" i="19" a="1"/>
  <c r="B70" i="19" a="1"/>
  <c r="B157" i="19" a="1"/>
  <c r="B159" i="19" a="1"/>
  <c r="A45" i="19" a="1"/>
  <c r="B102" i="19" a="1"/>
  <c r="B45" i="19" a="1"/>
  <c r="B158" i="19" a="1"/>
  <c r="B163" i="19" a="1"/>
  <c r="A47" i="19" a="1"/>
  <c r="B177" i="19" a="1"/>
  <c r="A178" i="19" a="1"/>
  <c r="A196" i="19" a="1"/>
  <c r="A52" i="19" a="1"/>
  <c r="A84" i="19" a="1"/>
  <c r="A100" i="19" a="1"/>
  <c r="B81" i="19" a="1"/>
  <c r="B152" i="19" a="1"/>
  <c r="A154" i="19" a="1"/>
  <c r="A197" i="19" a="1"/>
  <c r="B66" i="19" a="1"/>
  <c r="B156" i="19" a="1"/>
  <c r="A193" i="19" a="1"/>
  <c r="A155" i="19" a="1"/>
  <c r="B172" i="19" a="1"/>
  <c r="B181" i="19" a="1"/>
  <c r="A54" i="19" a="1"/>
  <c r="A78" i="19" a="1"/>
  <c r="A94" i="19" a="1"/>
  <c r="B59" i="19" a="1"/>
  <c r="B83" i="19" a="1"/>
  <c r="A71" i="19" a="1"/>
  <c r="B60" i="19" a="1"/>
  <c r="B92" i="19" a="1"/>
  <c r="B171" i="19" a="1"/>
  <c r="B190" i="19" a="1"/>
  <c r="B164" i="19" a="1"/>
  <c r="A172" i="19" a="1"/>
  <c r="A183" i="19" a="1"/>
  <c r="B195" i="19" a="1"/>
  <c r="A56" i="19" a="1"/>
  <c r="A88" i="19" a="1"/>
  <c r="B61" i="19" a="1"/>
  <c r="B77" i="19" a="1"/>
  <c r="A101" i="19" a="1"/>
  <c r="A188" i="19" a="1"/>
  <c r="A173" i="19" a="1"/>
  <c r="B165" i="19" a="1"/>
  <c r="A65" i="19" a="1"/>
  <c r="A89" i="19" a="1"/>
  <c r="B62" i="19" a="1"/>
  <c r="B94" i="19" a="1"/>
  <c r="A158" i="19" a="1"/>
  <c r="B199" i="19" l="1"/>
  <c r="C199" i="19" s="1"/>
  <c r="A199" i="19"/>
  <c r="B135" i="19"/>
  <c r="B119" i="19"/>
  <c r="B111" i="19"/>
  <c r="A143" i="19"/>
  <c r="A135" i="19"/>
  <c r="A127" i="19"/>
  <c r="A119" i="19"/>
  <c r="B148" i="19"/>
  <c r="B116" i="19"/>
  <c r="C116" i="19" s="1"/>
  <c r="A148" i="19"/>
  <c r="A124" i="19"/>
  <c r="B147" i="19"/>
  <c r="C147" i="19" s="1"/>
  <c r="B139" i="19"/>
  <c r="C139" i="19" s="1"/>
  <c r="B131" i="19"/>
  <c r="C131" i="19" s="1"/>
  <c r="B123" i="19"/>
  <c r="C123" i="19" s="1"/>
  <c r="B115" i="19"/>
  <c r="B107" i="19"/>
  <c r="A147" i="19"/>
  <c r="A139" i="19"/>
  <c r="A131" i="19"/>
  <c r="A123" i="19"/>
  <c r="A115" i="19"/>
  <c r="A107" i="19"/>
  <c r="B146" i="19"/>
  <c r="B138" i="19"/>
  <c r="B130" i="19"/>
  <c r="B122" i="19"/>
  <c r="C122" i="19" s="1"/>
  <c r="B114" i="19"/>
  <c r="C114" i="19" s="1"/>
  <c r="B106" i="19"/>
  <c r="C106" i="19" s="1"/>
  <c r="A146" i="19"/>
  <c r="A138" i="19"/>
  <c r="A130" i="19"/>
  <c r="A122" i="19"/>
  <c r="A114" i="19"/>
  <c r="A106" i="19"/>
  <c r="B151" i="19"/>
  <c r="B127" i="19"/>
  <c r="A151" i="19"/>
  <c r="A111" i="19"/>
  <c r="B141" i="19"/>
  <c r="B125" i="19"/>
  <c r="B109" i="19"/>
  <c r="C109" i="19" s="1"/>
  <c r="A141" i="19"/>
  <c r="A125" i="19"/>
  <c r="A117" i="19"/>
  <c r="B124" i="19"/>
  <c r="C124" i="19" s="1"/>
  <c r="B108" i="19"/>
  <c r="C108" i="19" s="1"/>
  <c r="A140" i="19"/>
  <c r="A132" i="19"/>
  <c r="A116" i="19"/>
  <c r="B145" i="19"/>
  <c r="B137" i="19"/>
  <c r="B129" i="19"/>
  <c r="B121" i="19"/>
  <c r="B113" i="19"/>
  <c r="B105" i="19"/>
  <c r="A145" i="19"/>
  <c r="A137" i="19"/>
  <c r="A129" i="19"/>
  <c r="A121" i="19"/>
  <c r="A113" i="19"/>
  <c r="A105" i="19"/>
  <c r="B143" i="19"/>
  <c r="C143" i="19" s="1"/>
  <c r="B142" i="19"/>
  <c r="B126" i="19"/>
  <c r="A150" i="19"/>
  <c r="A110" i="19"/>
  <c r="B132" i="19"/>
  <c r="C132" i="19" s="1"/>
  <c r="A108" i="19"/>
  <c r="B150" i="19"/>
  <c r="C150" i="19" s="1"/>
  <c r="B134" i="19"/>
  <c r="B118" i="19"/>
  <c r="B110" i="19"/>
  <c r="C110" i="19" s="1"/>
  <c r="A142" i="19"/>
  <c r="A134" i="19"/>
  <c r="A126" i="19"/>
  <c r="A118" i="19"/>
  <c r="B149" i="19"/>
  <c r="C149" i="19" s="1"/>
  <c r="B133" i="19"/>
  <c r="C133" i="19" s="1"/>
  <c r="B117" i="19"/>
  <c r="A149" i="19"/>
  <c r="A133" i="19"/>
  <c r="A109" i="19"/>
  <c r="B140" i="19"/>
  <c r="B144" i="19"/>
  <c r="B136" i="19"/>
  <c r="B128" i="19"/>
  <c r="B120" i="19"/>
  <c r="B112" i="19"/>
  <c r="B104" i="19"/>
  <c r="A144" i="19"/>
  <c r="A136" i="19"/>
  <c r="A128" i="19"/>
  <c r="A120" i="19"/>
  <c r="A112" i="19"/>
  <c r="A104" i="19"/>
  <c r="B94" i="19"/>
  <c r="B62" i="19"/>
  <c r="A89" i="19"/>
  <c r="A65" i="19"/>
  <c r="B77" i="19"/>
  <c r="B61" i="19"/>
  <c r="A88" i="19"/>
  <c r="A56" i="19"/>
  <c r="B92" i="19"/>
  <c r="C92" i="19" s="1"/>
  <c r="B60" i="19"/>
  <c r="C60" i="19" s="1"/>
  <c r="A71" i="19"/>
  <c r="B83" i="19"/>
  <c r="B59" i="19"/>
  <c r="C59" i="19" s="1"/>
  <c r="A94" i="19"/>
  <c r="A78" i="19"/>
  <c r="A54" i="19"/>
  <c r="B66" i="19"/>
  <c r="B81" i="19"/>
  <c r="A100" i="19"/>
  <c r="A84" i="19"/>
  <c r="A52" i="19"/>
  <c r="B70" i="19"/>
  <c r="C70" i="19" s="1"/>
  <c r="A97" i="19"/>
  <c r="A73" i="19"/>
  <c r="B93" i="19"/>
  <c r="B69" i="19"/>
  <c r="C69" i="19" s="1"/>
  <c r="A96" i="19"/>
  <c r="A80" i="19"/>
  <c r="A64" i="19"/>
  <c r="B91" i="19"/>
  <c r="B75" i="19"/>
  <c r="C75" i="19" s="1"/>
  <c r="B51" i="19"/>
  <c r="A86" i="19"/>
  <c r="A70" i="19"/>
  <c r="B82" i="19"/>
  <c r="C82" i="19" s="1"/>
  <c r="A53" i="19"/>
  <c r="B89" i="19"/>
  <c r="C89" i="19" s="1"/>
  <c r="B57" i="19"/>
  <c r="C57" i="19" s="1"/>
  <c r="A60" i="19"/>
  <c r="B96" i="19"/>
  <c r="B88" i="19"/>
  <c r="C88" i="19" s="1"/>
  <c r="B80" i="19"/>
  <c r="B72" i="19"/>
  <c r="C72" i="19" s="1"/>
  <c r="B64" i="19"/>
  <c r="B56" i="19"/>
  <c r="C56" i="19" s="1"/>
  <c r="A99" i="19"/>
  <c r="A91" i="19"/>
  <c r="A83" i="19"/>
  <c r="A75" i="19"/>
  <c r="A67" i="19"/>
  <c r="A59" i="19"/>
  <c r="A51" i="19"/>
  <c r="B86" i="19"/>
  <c r="C86" i="19" s="1"/>
  <c r="A57" i="19"/>
  <c r="B100" i="19"/>
  <c r="C100" i="19" s="1"/>
  <c r="B76" i="19"/>
  <c r="B52" i="19"/>
  <c r="C52" i="19" s="1"/>
  <c r="A87" i="19"/>
  <c r="A63" i="19"/>
  <c r="B90" i="19"/>
  <c r="C90" i="19" s="1"/>
  <c r="B58" i="19"/>
  <c r="C58" i="19" s="1"/>
  <c r="A93" i="19"/>
  <c r="A77" i="19"/>
  <c r="A61" i="19"/>
  <c r="B65" i="19"/>
  <c r="A68" i="19"/>
  <c r="B78" i="19"/>
  <c r="B54" i="19"/>
  <c r="A81" i="19"/>
  <c r="B85" i="19"/>
  <c r="C85" i="19" s="1"/>
  <c r="B53" i="19"/>
  <c r="C53" i="19" s="1"/>
  <c r="A72" i="19"/>
  <c r="B84" i="19"/>
  <c r="C84" i="19" s="1"/>
  <c r="B68" i="19"/>
  <c r="C68" i="19" s="1"/>
  <c r="A95" i="19"/>
  <c r="A79" i="19"/>
  <c r="A55" i="19"/>
  <c r="B99" i="19"/>
  <c r="C99" i="19" s="1"/>
  <c r="B67" i="19"/>
  <c r="C67" i="19" s="1"/>
  <c r="A62" i="19"/>
  <c r="B98" i="19"/>
  <c r="B74" i="19"/>
  <c r="B50" i="19"/>
  <c r="A85" i="19"/>
  <c r="A69" i="19"/>
  <c r="B97" i="19"/>
  <c r="B73" i="19"/>
  <c r="A92" i="19"/>
  <c r="A76" i="19"/>
  <c r="B95" i="19"/>
  <c r="B87" i="19"/>
  <c r="C87" i="19" s="1"/>
  <c r="B79" i="19"/>
  <c r="C79" i="19" s="1"/>
  <c r="B71" i="19"/>
  <c r="C71" i="19" s="1"/>
  <c r="B63" i="19"/>
  <c r="C63" i="19" s="1"/>
  <c r="B55" i="19"/>
  <c r="A98" i="19"/>
  <c r="A90" i="19"/>
  <c r="A82" i="19"/>
  <c r="A74" i="19"/>
  <c r="A66" i="19"/>
  <c r="A58" i="19"/>
  <c r="A50" i="19"/>
  <c r="B198" i="19"/>
  <c r="A198" i="19"/>
  <c r="B159" i="19"/>
  <c r="B165" i="19"/>
  <c r="A165" i="19"/>
  <c r="A156" i="19"/>
  <c r="B170" i="19"/>
  <c r="B162" i="19"/>
  <c r="B154" i="19"/>
  <c r="B47" i="19"/>
  <c r="A170" i="19"/>
  <c r="A162" i="19"/>
  <c r="A154" i="19"/>
  <c r="A47" i="19"/>
  <c r="B175" i="19"/>
  <c r="A175" i="19"/>
  <c r="A159" i="19"/>
  <c r="B102" i="19"/>
  <c r="C102" i="19" s="1"/>
  <c r="A158" i="19"/>
  <c r="B101" i="19"/>
  <c r="A101" i="19"/>
  <c r="A172" i="19"/>
  <c r="A49" i="19"/>
  <c r="A163" i="19"/>
  <c r="B166" i="19"/>
  <c r="B172" i="19"/>
  <c r="B156" i="19"/>
  <c r="B49" i="19"/>
  <c r="A164" i="19"/>
  <c r="B163" i="19"/>
  <c r="B48" i="19"/>
  <c r="A48" i="19"/>
  <c r="B169" i="19"/>
  <c r="B161" i="19"/>
  <c r="B153" i="19"/>
  <c r="B46" i="19"/>
  <c r="A169" i="19"/>
  <c r="A161" i="19"/>
  <c r="A153" i="19"/>
  <c r="A46" i="19"/>
  <c r="B167" i="19"/>
  <c r="B103" i="19"/>
  <c r="A167" i="19"/>
  <c r="A103" i="19"/>
  <c r="B174" i="19"/>
  <c r="B158" i="19"/>
  <c r="A174" i="19"/>
  <c r="A166" i="19"/>
  <c r="A102" i="19"/>
  <c r="B173" i="19"/>
  <c r="B157" i="19"/>
  <c r="A173" i="19"/>
  <c r="A157" i="19"/>
  <c r="B164" i="19"/>
  <c r="B171" i="19"/>
  <c r="B155" i="19"/>
  <c r="A171" i="19"/>
  <c r="A155" i="19"/>
  <c r="B168" i="19"/>
  <c r="B160" i="19"/>
  <c r="B152" i="19"/>
  <c r="B45" i="19"/>
  <c r="A168" i="19"/>
  <c r="A160" i="19"/>
  <c r="A152" i="19"/>
  <c r="A45" i="19"/>
  <c r="A191" i="19"/>
  <c r="B188" i="19"/>
  <c r="A188" i="19"/>
  <c r="A180" i="19"/>
  <c r="B187" i="19"/>
  <c r="B179" i="19"/>
  <c r="A187" i="19"/>
  <c r="A179" i="19"/>
  <c r="B186" i="19"/>
  <c r="B178" i="19"/>
  <c r="A186" i="19"/>
  <c r="A178" i="19"/>
  <c r="B183" i="19"/>
  <c r="B182" i="19"/>
  <c r="A185" i="19"/>
  <c r="A177" i="19"/>
  <c r="A190" i="19"/>
  <c r="B180" i="19"/>
  <c r="B191" i="19"/>
  <c r="A183" i="19"/>
  <c r="B190" i="19"/>
  <c r="C190" i="19" s="1"/>
  <c r="A182" i="19"/>
  <c r="B189" i="19"/>
  <c r="B181" i="19"/>
  <c r="A189" i="19"/>
  <c r="A181" i="19"/>
  <c r="B185" i="19"/>
  <c r="B177" i="19"/>
  <c r="B184" i="19"/>
  <c r="B176" i="19"/>
  <c r="A184" i="19"/>
  <c r="A176" i="19"/>
  <c r="B196" i="19"/>
  <c r="B195" i="19"/>
  <c r="B194" i="19"/>
  <c r="A194" i="19"/>
  <c r="A195" i="19"/>
  <c r="B193" i="19"/>
  <c r="A193" i="19"/>
  <c r="A200" i="19"/>
  <c r="A197" i="19"/>
  <c r="A196" i="19"/>
  <c r="B200" i="19"/>
  <c r="B197" i="19"/>
  <c r="C197" i="19" s="1"/>
  <c r="B192" i="19"/>
  <c r="A192" i="19"/>
  <c r="A23" i="19"/>
  <c r="C23" i="19" s="1"/>
  <c r="B39" i="19"/>
  <c r="C25" i="19"/>
  <c r="C26" i="19"/>
  <c r="C24" i="19"/>
  <c r="C27" i="19"/>
  <c r="C22" i="19"/>
  <c r="C36" i="19"/>
  <c r="C172" i="19" l="1"/>
  <c r="C51" i="19"/>
  <c r="C117" i="19"/>
  <c r="C142" i="19"/>
  <c r="C115" i="19"/>
  <c r="C55" i="19"/>
  <c r="C104" i="19"/>
  <c r="C73" i="19"/>
  <c r="C130" i="19"/>
  <c r="C138" i="19"/>
  <c r="C120" i="19"/>
  <c r="C146" i="19"/>
  <c r="C134" i="19"/>
  <c r="C144" i="19"/>
  <c r="C137" i="19"/>
  <c r="C151" i="19"/>
  <c r="C113" i="19"/>
  <c r="C121" i="19"/>
  <c r="C127" i="19"/>
  <c r="C140" i="19"/>
  <c r="C145" i="19"/>
  <c r="C111" i="19"/>
  <c r="C112" i="19"/>
  <c r="C125" i="19"/>
  <c r="C118" i="19"/>
  <c r="C141" i="19"/>
  <c r="C136" i="19"/>
  <c r="C119" i="19"/>
  <c r="C105" i="19"/>
  <c r="C148" i="19"/>
  <c r="C128" i="19"/>
  <c r="C129" i="19"/>
  <c r="C126" i="19"/>
  <c r="C107" i="19"/>
  <c r="C135" i="19"/>
  <c r="C83" i="19"/>
  <c r="C80" i="19"/>
  <c r="C96" i="19"/>
  <c r="C95" i="19"/>
  <c r="C93" i="19"/>
  <c r="C173" i="19"/>
  <c r="C61" i="19"/>
  <c r="C158" i="19"/>
  <c r="C163" i="19"/>
  <c r="C54" i="19"/>
  <c r="C91" i="19"/>
  <c r="C64" i="19"/>
  <c r="C76" i="19"/>
  <c r="C183" i="19"/>
  <c r="C77" i="19"/>
  <c r="C50" i="19"/>
  <c r="C78" i="19"/>
  <c r="C200" i="19"/>
  <c r="C49" i="19"/>
  <c r="C74" i="19"/>
  <c r="C81" i="19"/>
  <c r="C62" i="19"/>
  <c r="C161" i="19"/>
  <c r="C182" i="19"/>
  <c r="C97" i="19"/>
  <c r="C156" i="19"/>
  <c r="C98" i="19"/>
  <c r="C65" i="19"/>
  <c r="C66" i="19"/>
  <c r="C94" i="19"/>
  <c r="C169" i="19"/>
  <c r="C198" i="19"/>
  <c r="C188" i="19"/>
  <c r="C101" i="19"/>
  <c r="C157" i="19"/>
  <c r="C152" i="19"/>
  <c r="C45" i="19"/>
  <c r="C103" i="19"/>
  <c r="C166" i="19"/>
  <c r="C162" i="19"/>
  <c r="C171" i="19"/>
  <c r="C164" i="19"/>
  <c r="C48" i="19"/>
  <c r="C174" i="19"/>
  <c r="C160" i="19"/>
  <c r="C168" i="19"/>
  <c r="C154" i="19"/>
  <c r="C170" i="19"/>
  <c r="C191" i="19"/>
  <c r="C175" i="19"/>
  <c r="C47" i="19"/>
  <c r="C167" i="19"/>
  <c r="C155" i="19"/>
  <c r="C46" i="19"/>
  <c r="C165" i="19"/>
  <c r="C153" i="19"/>
  <c r="C159" i="19"/>
  <c r="C176" i="19"/>
  <c r="C185" i="19"/>
  <c r="C178" i="19"/>
  <c r="C181" i="19"/>
  <c r="C189" i="19"/>
  <c r="C179" i="19"/>
  <c r="C187" i="19"/>
  <c r="C180" i="19"/>
  <c r="C184" i="19"/>
  <c r="C177" i="19"/>
  <c r="C186" i="19"/>
  <c r="C192" i="19"/>
  <c r="C193" i="19"/>
  <c r="C194" i="19"/>
  <c r="C195" i="19"/>
  <c r="C196" i="19"/>
  <c r="A35" i="19"/>
  <c r="B35" i="19"/>
  <c r="A34" i="19"/>
  <c r="B34" i="19"/>
  <c r="A39" i="19"/>
  <c r="C39" i="19" s="1"/>
  <c r="B38" i="19"/>
  <c r="A38" i="19"/>
  <c r="B37" i="19"/>
  <c r="A37" i="19"/>
  <c r="A6" i="19"/>
  <c r="A15" i="19" s="1"/>
  <c r="A5" i="19"/>
  <c r="A14" i="19" s="1"/>
  <c r="A4" i="19"/>
  <c r="A13" i="19" s="1"/>
  <c r="A33" i="19"/>
  <c r="B4" i="19"/>
  <c r="B6" i="19"/>
  <c r="B5" i="19"/>
  <c r="B33" i="19"/>
  <c r="A16" i="19" l="1"/>
  <c r="C35" i="19"/>
  <c r="C34" i="19"/>
  <c r="C38" i="19"/>
  <c r="A7" i="19"/>
  <c r="C33" i="19"/>
  <c r="C37" i="19"/>
  <c r="B13" i="19"/>
  <c r="C4" i="19"/>
  <c r="B7" i="19"/>
  <c r="B14" i="19"/>
  <c r="C14" i="19" s="1"/>
  <c r="C5" i="19"/>
  <c r="B15" i="19"/>
  <c r="C15" i="19" s="1"/>
  <c r="C6" i="19"/>
  <c r="C7" i="19" l="1"/>
  <c r="B16" i="19"/>
  <c r="C13" i="19"/>
  <c r="C16" i="19" s="1"/>
  <c r="B2" i="3" l="1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12" i="3" a="1"/>
  <c r="B12" i="3" s="1"/>
  <c r="C12" i="3" a="1"/>
  <c r="C1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<sst xmlns="http://schemas.openxmlformats.org/spreadsheetml/2006/main" count="76" uniqueCount="39">
  <si>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</si>
  <si>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</si>
  <si>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</si>
  <si>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</si>
  <si>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</si>
  <si>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</si>
  <si>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</si>
  <si>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</si>
  <si>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</si>
  <si>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</si>
  <si>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EUR</t>
  </si>
  <si>
    <t>All</t>
  </si>
  <si>
    <t>SEK</t>
  </si>
  <si>
    <t>ERIC-B</t>
  </si>
  <si>
    <t>BTC</t>
  </si>
  <si>
    <t>ETH</t>
  </si>
  <si>
    <t>TON</t>
  </si>
  <si>
    <t>Price</t>
  </si>
  <si>
    <t>Share</t>
  </si>
  <si>
    <t>TON/EUR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</si>
  <si>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</si>
  <si>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</si>
  <si>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</si>
  <si>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</si>
  <si>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</si>
  <si>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</si>
  <si>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</si>
  <si>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</si>
  <si>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</si>
  <si>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Difference (EUR)</t>
  </si>
  <si>
    <t>Projected Currency</t>
  </si>
  <si>
    <t>Projected Amount</t>
  </si>
  <si>
    <t>Actual Currency</t>
  </si>
  <si>
    <t>Actual Amount</t>
  </si>
  <si>
    <t>Projected Amount (EUR)</t>
  </si>
  <si>
    <t>Actual Amount (EUR)</t>
  </si>
  <si>
    <t>Budget Balance</t>
  </si>
  <si>
    <t>Currency Balance</t>
  </si>
  <si>
    <t>Transactions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</si>
</sst>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  <numFmt numFmtId="166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3" fillId="0" borderId="3" xfId="2" applyAlignment="1">
      <alignment horizontal="left"/>
    </xf>
  </cellXfs>
  <cellStyles count="3">
    <cellStyle name="Heading 1" xfId="2" builtinId="16" customBuiltin="1"/>
    <cellStyle name="Normal" xfId="0" builtinId="0"/>
    <cellStyle name="Percent" xfId="1" builtinId="5"/>
  </cellStyles>
  <dxfs count="50"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3" formatCode="0%"/>
    </dxf>
    <dxf>
      <numFmt numFmtId="13" formatCode="0%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9.6699999999999994E-2</v>
    <v>8.6999999999999994E-2</v>
    <v>-5.9999999999999995E-4</v>
    <v>-6.7949999999999998E-3</v>
    <v>EUR</v>
    <v>SEK</v>
    <v>8.8300000000000003E-2</v>
    <v>Currency Pair</v>
    <v>45064.68886574074</v>
    <v>8.77E-2</v>
    <v>Swedish Krona/Euro FX Cross Rate</v>
    <v>8.8300000000000003E-2</v>
    <v>8.8300000000000003E-2</v>
    <v>8.77E-2</v>
    <v>SEKEUR</v>
    <v>SEK/EUR</v>
  </rv>
  <rv s="1">
    <v>0</v>
  </rv>
  <rv s="0">
    <v>en-US</v>
    <v>bo8mpr</v>
    <v>268435456</v>
    <v>1</v>
    <v>Powered by Refinitiv</v>
    <v>0</v>
    <v>BTC/EUR</v>
    <v>2</v>
    <v>3</v>
    <v>Finance</v>
    <v>4</v>
    <v>30175.576700000001</v>
    <v>15116.6878</v>
    <v>-122.04989999999999</v>
    <v>-4.8409999999999998E-3</v>
    <v>EUR</v>
    <v>BTC</v>
    <v>25413.575700000001</v>
    <v>Currency Pair</v>
    <v>45064.688842592594</v>
    <v>25071.540700000001</v>
    <v>Bitcoin/Euro FX Cross Rate</v>
    <v>25212.137999999999</v>
    <v>25213.060300000001</v>
    <v>25091.010399999999</v>
    <v>BTCEUR</v>
    <v>BTC/EUR</v>
  </rv>
  <rv s="1">
    <v>2</v>
  </rv>
  <rv s="0">
    <v>en-US</v>
    <v>borpmw</v>
    <v>268435456</v>
    <v>1</v>
    <v>Powered by Refinitiv</v>
    <v>0</v>
    <v>ETH/EUR</v>
    <v>2</v>
    <v>3</v>
    <v>Finance</v>
    <v>4</v>
    <v>2078.37</v>
    <v>956.17899999999997</v>
    <v>-5.8570000000000002</v>
    <v>-3.4770000000000001E-3</v>
    <v>EUR</v>
    <v>ETH</v>
    <v>1693.4169999999999</v>
    <v>Currency Pair</v>
    <v>45064.688842592594</v>
    <v>1675.7750000000001</v>
    <v>Ethereum/Euro FX Cross Rate</v>
    <v>1684.2560000000001</v>
    <v>1684.2560000000001</v>
    <v>1678.3989999999999</v>
    <v>ETHEUR</v>
    <v>ETH/EUR</v>
  </rv>
  <rv s="1">
    <v>4</v>
  </rv>
  <rv s="2">
    <v>https://www.bing.com/financeapi/forcetrigger?t=amwif2&amp;q=XSTO%3aERIC+B&amp;form=skydnc</v>
    <v>Learn more on Bing</v>
  </rv>
  <rv s="3">
    <v>en-US</v>
    <v>amwif2</v>
    <v>268435456</v>
    <v>1</v>
    <v>Powered by Refinitiv</v>
    <v>5</v>
    <v>Telefonaktiebolaget LM Ericsson (XSTO:ERIC B)</v>
    <v>6</v>
    <v>7</v>
    <v>Finance</v>
    <v>8</v>
    <v>121.8</v>
    <v>53.36</v>
    <v>0.26690000000000003</v>
    <v>-0.19</v>
    <v>-3.4949999999999998E-3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104931</v>
    <v>NASDAQ Stockholm</v>
    <v>XSTO</v>
    <v>XSTO</v>
    <v>Torshamnsgatan 21, STOCKHOLM, STOCKHOLM, 164 40 SE</v>
    <v>54.57</v>
    <v>Communications &amp; Networking</v>
    <v>Stock</v>
    <v>45063.479166666664</v>
    <v>6</v>
    <v>54.1</v>
    <v>182163200000</v>
    <v>Telefonaktiebolaget LM Ericsson</v>
    <v>Telefonaktiebolaget LM Ericsson</v>
    <v>54.32</v>
    <v>10.45</v>
    <v>54.36</v>
    <v>54.17</v>
    <v>3334152000</v>
    <v>ERIC B</v>
    <v>Telefonaktiebolaget LM Ericsson (XSTO:ERIC B)</v>
    <v>2804356</v>
    <v>7344340</v>
    <v>1918</v>
  </rv>
  <rv s="1">
    <v>7</v>
  </rv>
</rvData>
</file>

<file path=xl/richData/rdrichvaluestructure.xml><?xml version="1.0" encoding="utf-8"?>
<rvStructures xmlns="http://schemas.microsoft.com/office/spreadsheetml/2017/richdata" count="4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2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Official name</v>
      <v t="s">Last trade time</v>
      <v t="s">Ticker symbol</v>
      <v t="s">Exchange abbreviation</v>
      <v t="s">Change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9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  <v>1</v>
    </spb>
    <spb s="7">
      <v>6</v>
      <v>7</v>
      <v>7</v>
      <v>6</v>
      <v>2</v>
      <v>6</v>
      <v>6</v>
      <v>6</v>
      <v>8</v>
      <v>8</v>
      <v>3</v>
      <v>9</v>
      <v>6</v>
      <v>6</v>
      <v>6</v>
      <v>8</v>
      <v>4</v>
      <v>10</v>
      <v>5</v>
      <v>8</v>
    </spb>
    <spb s="8">
      <v>Delayed 15 minutes</v>
      <v>from previous close</v>
      <v>from previous close</v>
      <v>Source: Nasdaq Nordic</v>
      <v>GMT</v>
    </spb>
  </spbData>
</supportingPropertyBags>
</file>

<file path=xl/richData/rdsupportingpropertybagstructure.xml><?xml version="1.0" encoding="utf-8"?>
<spbStructures xmlns="http://schemas.microsoft.com/office/spreadsheetml/2017/richdata2" count="9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</s>
  <s>
    <k n="Price" t="s"/>
    <k n="Change" t="s"/>
    <k n="Change (%)" t="s"/>
    <k n="ExchangeID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NumberFormat" t="s"/>
    <rPr n="IsTitleField" t="b"/>
  </richProperties>
  <richStyles>
    <rSty dxfid="0">
      <rpv i="0">_([$€-x-euro2] * #,##0.00_);_([$€-x-euro2] * (#,##0.00);_([$€-x-euro2] * "-"??_);_(@_)</rpv>
    </rSty>
    <rSty>
      <rpv i="1">1</rpv>
    </rSty>
    <rSty dxfid="3"/>
    <rSty dxfid="4"/>
    <rSty dxfid="6">
      <rpv i="0">0.00</rpv>
    </rSty>
    <rSty dxfid="0">
      <rpv i="0">_-* #,##0.00 [$kr-smj-SE]_-;-* #,##0.00 [$kr-smj-SE]_-;_-* "-"?? [$kr-smj-SE]_-;_-@_-</rpv>
    </rSty>
    <rSty dxfid="1">
      <rpv i="0">#,##0.00</rpv>
    </rSty>
    <rSty dxfid="2">
      <rpv i="0">#,##0</rpv>
    </rSty>
    <rSty dxfid="0">
      <rpv i="0">_-* #,##0 [$kr-smj-SE]_-;-* #,##0 [$kr-smj-SE]_-;_-* "-" [$kr-smj-SE]_-;_-@_-</rpv>
    </rSty>
    <rSty dxfid="5">
      <rpv i="0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4:K200" totalsRowShown="0">
  <autoFilter ref="A44:K200" xr:uid="{BE3413F4-03F4-4D8E-80C7-EEABB630C929}"/>
  <tableColumns count="11">
    <tableColumn id="7" xr3:uid="{272C75E0-BBA9-AE46-80E2-D0B3E2CFA99D}" name="Projected Amount (EUR)" dataDxfId="49">
      <calculatedColumnFormula array="1">CONVERT2EUR(Transactions01[[#This Row],[Projected Currency]], Transactions01[[#This Row],[Projected Amount]])</calculatedColumnFormula>
    </tableColumn>
    <tableColumn id="10" xr3:uid="{83D9F1C4-D222-A24E-8945-BAF6D38F4CB0}" name="Actual Amount (EUR)" dataDxfId="48">
      <calculatedColumnFormula array="1">CONVERT2EUR(Transactions01[[#This Row],[Actual Currency]], Transactions01[[#This Row],[Actual Amount]])</calculatedColumnFormula>
    </tableColumn>
    <tableColumn id="11" xr3:uid="{A260C673-CABF-2D44-BD32-7D3FEE87B639}" name="Difference (EUR)" dataDxfId="47">
      <calculatedColumnFormula>Transactions01[[#This Row],[Actual Amount (EUR)]] - Transactions01[[#This Row],[Projected Amount (EUR)]]</calculatedColumnFormula>
    </tableColumn>
    <tableColumn id="1" xr3:uid="{1C60E522-2331-EB41-B921-6517C0357722}" name="Type" dataDxfId="46"/>
    <tableColumn id="8" xr3:uid="{22075119-D919-2C45-8B1F-BDB09F883BC0}" name="Category" dataDxfId="45"/>
    <tableColumn id="2" xr3:uid="{4E8434DF-05B9-B647-86F8-908D7607E11B}" name="Sub-category" dataDxfId="44"/>
    <tableColumn id="9" xr3:uid="{17EA39BB-2BEB-854D-8BDB-D27632D06DEA}" name="Description" dataDxfId="43"/>
    <tableColumn id="4" xr3:uid="{3843AA7A-63F9-8C40-9382-D5C839F95942}" name="Projected Currency"/>
    <tableColumn id="5" xr3:uid="{2DE84C60-20A6-F04C-BBDC-C733D9EDBD94}" name="Projected Amount" dataDxfId="42"/>
    <tableColumn id="12" xr3:uid="{145F23E9-DCBD-4A54-B836-53EA9A18C52F}" name="Actual Currency" dataDxfId="41"/>
    <tableColumn id="6" xr3:uid="{9AF1319E-0A89-3340-9932-CAEE4C43546B}" name="Actual Amount" dataDxfId="40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1" displayName="Budget01" ref="A3:E7" totalsRowCount="1">
  <autoFilter ref="A3:E6" xr:uid="{F0794A87-15C6-41FB-830A-DCD8A580D945}"/>
  <tableColumns count="5">
    <tableColumn id="2" xr3:uid="{A63F62A2-EFCD-A045-A8E7-B3BD4CE07B8F}" name="Projected" totalsRowFunction="sum" dataDxfId="39" totalsRowDxfId="38">
      <calculatedColumnFormula xml:space="preserve"> Budget01[[#This Row],[Slice]] * SUMIFS(Transactions01[Projected Amount (EUR)], Transactions01[Type], "Income")</calculatedColumnFormula>
    </tableColumn>
    <tableColumn id="3" xr3:uid="{433CBD40-A24E-914A-B2D1-E3C4A178F92B}" name="Actual" totalsRowFunction="sum" dataDxfId="37" totalsRowDxfId="36">
      <calculatedColumnFormula xml:space="preserve"> Budget01[[#This Row],[Slice]] * SUMIFS(Transactions01[Actual Amount (EUR)], Transactions01[Type], "Income")</calculatedColumnFormula>
    </tableColumn>
    <tableColumn id="4" xr3:uid="{CAC6407E-BF35-7742-98F2-41747A27301C}" name="Difference" totalsRowFunction="sum" dataDxfId="35" totalsRowDxfId="34">
      <calculatedColumnFormula>Budget01[[#This Row],[Actual]]-Budget01[[#This Row],[Projected]]</calculatedColumnFormula>
    </tableColumn>
    <tableColumn id="6" xr3:uid="{90C9B527-62E9-F24E-BFFC-8D2FBCDF7507}" name="Category" totalsRowLabel="All" dataDxfId="33"/>
    <tableColumn id="9" xr3:uid="{433427B6-3E47-9341-BF9F-AA8E892FDC6B}" name="Slice" totalsRowFunction="sum" dataDxfId="32" totalsRowDxfId="31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1" displayName="TransactionsSummary01" ref="A32:E39">
  <autoFilter ref="A32:E39" xr:uid="{713728AE-6BDD-4D46-B9B2-DD02597E5EAD}"/>
  <tableColumns count="5">
    <tableColumn id="2" xr3:uid="{F0BB4638-B383-FD4F-9847-6380FF9562FF}" name="Projected" totalsRowFunction="sum" dataDxfId="30" totalsRowDxfId="29">
      <calculatedColumnFormula xml:space="preserve"> SUMIFS(Transactions01[Projected Amount (EUR)], Transactions01[Type], TransactionsSummary01[[#This Row],[Type]], Transactions01[Category], TransactionsSummary01[[#This Row],[Category]])</calculatedColumnFormula>
    </tableColumn>
    <tableColumn id="3" xr3:uid="{F2DE60D0-7E20-724B-A25D-ED851B6C25A2}" name="Actual" totalsRowFunction="sum" dataDxfId="28">
      <calculatedColumnFormula xml:space="preserve"> SUMIFS(Transactions01[Actual Amount (EUR)], Transactions01[Type], TransactionsSummary01[[#This Row],[Type]], Transactions01[Category], TransactionsSummary01[[#This Row],[Category]])</calculatedColumnFormula>
    </tableColumn>
    <tableColumn id="4" xr3:uid="{B80969C1-17FF-DD41-8C71-D5568488AEBD}" name="Difference" totalsRowFunction="sum" dataDxfId="27" totalsRowDxfId="26">
      <calculatedColumnFormula>TransactionsSummary01[[#This Row],[Actual]]-TransactionsSummary01[[#This Row],[Projected]]</calculatedColumnFormula>
    </tableColumn>
    <tableColumn id="6" xr3:uid="{DA6DEECC-A3C3-6A49-8C44-39C278D53112}" name="Type" totalsRowLabel="All" dataDxfId="25"/>
    <tableColumn id="9" xr3:uid="{C522D97F-8BBD-EA49-A205-DB8122011FD2}" name="Category" dataDxfId="24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udgetBalance01" displayName="BudgetBalance01" ref="A12:D16" totalsRowCount="1">
  <autoFilter ref="A12:D15" xr:uid="{20B85D4C-DE74-40AD-93EF-EEC715B5DC66}"/>
  <tableColumns count="4">
    <tableColumn id="2" xr3:uid="{B1812747-9CB4-C543-9F83-9C8DC9294C29}" name="Projected" totalsRowFunction="sum" dataDxfId="23" totalsRowDxfId="22"/>
    <tableColumn id="3" xr3:uid="{6CDA323C-0487-9F4D-8776-55CA70004444}" name="Actual" totalsRowFunction="sum" dataDxfId="21" totalsRowDxfId="20">
      <calculatedColumnFormula xml:space="preserve">
SUMIFS(Budget01[Actual], Budget01[Category], BudgetBalance01[[#This Row],[Category]]) -
SUMIFS(Transactions01[Actual Amount (EUR)], Transactions01[Type], "&lt;&gt;Income", Transactions01[Category], BudgetBalance01[[#This Row],[Category]])</calculatedColumnFormula>
    </tableColumn>
    <tableColumn id="4" xr3:uid="{AD2C1400-9583-1F42-89C5-21563CF0F2B8}" name="Difference" totalsRowFunction="sum" dataDxfId="19" totalsRowDxfId="18">
      <calculatedColumnFormula>BudgetBalance01[[#This Row],[Actual]] - BudgetBalance01[[#This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CurrencyBalance01" displayName="CurrencyBalance01" ref="A21:D27" totalsRowShown="0">
  <autoFilter ref="A21:D27" xr:uid="{A84D0160-C5B3-4C85-92A8-EE4858CA89D3}"/>
  <tableColumns count="4">
    <tableColumn id="2" xr3:uid="{186507E4-1607-8C4E-B510-F534ECE3A345}" name="Projected" dataDxfId="17">
      <calculatedColumnFormula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calculatedColumnFormula>
    </tableColumn>
    <tableColumn id="3" xr3:uid="{AC4F0E33-8D85-F24C-8807-2A5E160CA7D2}" name="Actual" dataDxfId="16">
      <calculatedColumnFormula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calculatedColumnFormula>
    </tableColumn>
    <tableColumn id="4" xr3:uid="{41D2F194-E6FB-E34A-A38B-93373251A7A8}" name="Difference" dataDxfId="15">
      <calculatedColumnFormula>CurrencyBalance01[[#This Row],[Actual]] - CurrencyBalance01[[#This Row],[Projected]]</calculatedColumnFormula>
    </tableColumn>
    <tableColumn id="1" xr3:uid="{14903CA0-61BC-714D-8728-1A416A52E023}" name="Currency" dataDxfId="14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13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4611B9-B720-4D25-98BA-9830678703A4}" name="ExchangeRateManual" displayName="ExchangeRateManual" ref="A7:D8" totalsRowShown="0">
  <autoFilter ref="A7:D8" xr:uid="{78C60DA9-8B48-4A48-B48C-7C7221F4A756}">
    <filterColumn colId="0" hiddenButton="1"/>
    <filterColumn colId="1" hiddenButton="1"/>
    <filterColumn colId="2" hiddenButton="1"/>
    <filterColumn colId="3" hiddenButton="1"/>
  </autoFilter>
  <tableColumns count="4">
    <tableColumn id="1" xr3:uid="{77B24DF6-EDE9-44F9-9475-9E750C4C2450}" name="Conversion"/>
    <tableColumn id="2" xr3:uid="{7B55D0BD-694C-47CD-AEDF-E7EAA3E9BB20}" name="From currency"/>
    <tableColumn id="3" xr3:uid="{24A234BF-B644-49D6-96E7-02A5C68D693B}" name="Currency"/>
    <tableColumn id="4" xr3:uid="{AE546E68-0EE9-4133-AEE2-BFFA013865F1}" name="Price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11:C12" totalsRowShown="0">
  <autoFilter ref="A11:C12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12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200"/>
  <sheetViews>
    <sheetView tabSelected="1" topLeftCell="A12" zoomScale="90" zoomScaleNormal="90" workbookViewId="0">
      <selection activeCell="G24" sqref="G24"/>
    </sheetView>
  </sheetViews>
  <sheetFormatPr defaultColWidth="8.85546875" defaultRowHeight="15" x14ac:dyDescent="0.25"/>
  <cols>
    <col min="1" max="6" width="30.7109375" customWidth="1"/>
    <col min="7" max="7" width="50.7109375" customWidth="1"/>
    <col min="8" max="11" width="3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11" t="s">
        <v>8</v>
      </c>
      <c r="B1" s="11"/>
    </row>
    <row r="2" spans="1:8" ht="20.100000000000001" customHeight="1" thickTop="1" x14ac:dyDescent="0.25"/>
    <row r="3" spans="1:8" ht="20.100000000000001" customHeight="1" x14ac:dyDescent="0.25">
      <c r="A3" s="1" t="s">
        <v>4</v>
      </c>
      <c r="B3" s="1" t="s">
        <v>5</v>
      </c>
      <c r="C3" s="2" t="s">
        <v>6</v>
      </c>
      <c r="D3" t="s">
        <v>1</v>
      </c>
      <c r="E3" t="s">
        <v>9</v>
      </c>
    </row>
    <row r="4" spans="1:8" ht="20.100000000000001" customHeight="1" x14ac:dyDescent="0.25">
      <c r="A4" s="9">
        <f xml:space="preserve"> Budget01[[#This Row],[Slice]] * SUMIFS(Transactions01[Projected Amount (EUR)], Transactions01[Type], "Income")</f>
        <v>0</v>
      </c>
      <c r="B4" s="9">
        <f xml:space="preserve"> Budget01[[#This Row],[Slice]] * SUMIFS(Transactions01[Actual Amount (EUR)], Transactions01[Type], "Income")</f>
        <v>0</v>
      </c>
      <c r="C4" s="9">
        <f>Budget01[[#This Row],[Actual]]-Budget01[[#This Row],[Projected]]</f>
        <v>0</v>
      </c>
      <c r="D4" t="s">
        <v>24</v>
      </c>
      <c r="E4" s="4">
        <v>0.5</v>
      </c>
    </row>
    <row r="5" spans="1:8" ht="20.100000000000001" customHeight="1" x14ac:dyDescent="0.25">
      <c r="A5" s="9">
        <f xml:space="preserve"> Budget01[[#This Row],[Slice]] * SUMIFS(Transactions01[Projected Amount (EUR)], Transactions01[Type], "Income")</f>
        <v>0</v>
      </c>
      <c r="B5" s="9">
        <f xml:space="preserve"> Budget01[[#This Row],[Slice]] * SUMIFS(Transactions01[Actual Amount (EUR)], Transactions01[Type], "Income")</f>
        <v>0</v>
      </c>
      <c r="C5" s="9">
        <f>Budget01[[#This Row],[Actual]]-Budget01[[#This Row],[Projected]]</f>
        <v>0</v>
      </c>
      <c r="D5" t="s">
        <v>26</v>
      </c>
      <c r="E5" s="4">
        <v>0.3</v>
      </c>
    </row>
    <row r="6" spans="1:8" ht="20.100000000000001" customHeight="1" x14ac:dyDescent="0.25">
      <c r="A6" s="9">
        <f xml:space="preserve"> Budget01[[#This Row],[Slice]] * SUMIFS(Transactions01[Projected Amount (EUR)], Transactions01[Type], "Income")</f>
        <v>0</v>
      </c>
      <c r="B6" s="9">
        <f xml:space="preserve"> Budget01[[#This Row],[Slice]] * SUMIFS(Transactions01[Actual Amount (EUR)], Transactions01[Type], "Income")</f>
        <v>0</v>
      </c>
      <c r="C6" s="9">
        <f>Budget01[[#This Row],[Actual]]-Budget01[[#This Row],[Projected]]</f>
        <v>0</v>
      </c>
      <c r="D6" t="s">
        <v>22</v>
      </c>
      <c r="E6" s="4">
        <v>0.2</v>
      </c>
    </row>
    <row r="7" spans="1:8" ht="20.100000000000001" customHeight="1" x14ac:dyDescent="0.25">
      <c r="A7" s="10">
        <f>SUBTOTAL(109,Budget01[Projected])</f>
        <v>0</v>
      </c>
      <c r="B7" s="10">
        <f>SUBTOTAL(109,Budget01[Actual])</f>
        <v>0</v>
      </c>
      <c r="C7" s="10">
        <f>SUBTOTAL(109,Budget01[Difference])</f>
        <v>0</v>
      </c>
      <c r="D7" t="s">
        <v>11</v>
      </c>
      <c r="E7" s="4">
        <f>SUBTOTAL(109,Budget01[Slice])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11" t="s">
        <v>36</v>
      </c>
      <c r="B10" s="11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4</v>
      </c>
      <c r="B12" t="s">
        <v>5</v>
      </c>
      <c r="C12" t="s">
        <v>6</v>
      </c>
      <c r="D12" t="s">
        <v>1</v>
      </c>
    </row>
    <row r="13" spans="1:8" ht="20.100000000000001" customHeight="1" x14ac:dyDescent="0.25">
      <c r="A13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3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3" s="10">
        <f>BudgetBalance01[[#This Row],[Actual]] - BudgetBalance01[[#This Row],[Projected]]</f>
        <v>0</v>
      </c>
      <c r="D13" t="s">
        <v>24</v>
      </c>
      <c r="F13" s="8"/>
    </row>
    <row r="14" spans="1:8" ht="20.100000000000001" customHeight="1" x14ac:dyDescent="0.25">
      <c r="A14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4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4" s="10">
        <f>BudgetBalance01[[#This Row],[Actual]] - BudgetBalance01[[#This Row],[Projected]]</f>
        <v>0</v>
      </c>
      <c r="D14" t="s">
        <v>26</v>
      </c>
    </row>
    <row r="15" spans="1:8" ht="20.100000000000001" customHeight="1" x14ac:dyDescent="0.25">
      <c r="A15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5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5" s="10">
        <f>BudgetBalance01[[#This Row],[Actual]] - BudgetBalance01[[#This Row],[Projected]]</f>
        <v>0</v>
      </c>
      <c r="D15" t="s">
        <v>22</v>
      </c>
    </row>
    <row r="16" spans="1:8" ht="20.100000000000001" customHeight="1" x14ac:dyDescent="0.25">
      <c r="A16" s="10">
        <f>SUBTOTAL(109,BudgetBalance01[Projected])</f>
        <v>0</v>
      </c>
      <c r="B16" s="10">
        <f>SUBTOTAL(109,BudgetBalance01[Actual])</f>
        <v>0</v>
      </c>
      <c r="C16" s="10">
        <f>SUBTOTAL(109,BudgetBalance01[Difference])</f>
        <v>0</v>
      </c>
      <c r="D16" t="s">
        <v>11</v>
      </c>
    </row>
    <row r="17" spans="1:5" ht="20.100000000000001" customHeight="1" x14ac:dyDescent="0.25"/>
    <row r="18" spans="1:5" ht="20.100000000000001" customHeight="1" x14ac:dyDescent="0.25"/>
    <row r="19" spans="1:5" ht="20.100000000000001" customHeight="1" thickBot="1" x14ac:dyDescent="0.35">
      <c r="A19" s="11" t="s">
        <v>37</v>
      </c>
      <c r="B19" s="11"/>
    </row>
    <row r="20" spans="1:5" ht="20.100000000000001" customHeight="1" thickTop="1" x14ac:dyDescent="0.25"/>
    <row r="21" spans="1:5" ht="20.100000000000001" customHeight="1" x14ac:dyDescent="0.25">
      <c r="A21" t="s">
        <v>4</v>
      </c>
      <c r="B21" t="s">
        <v>5</v>
      </c>
      <c r="C21" t="s">
        <v>6</v>
      </c>
      <c r="D21" t="s">
        <v>3</v>
      </c>
    </row>
    <row r="22" spans="1:5" ht="20.100000000000001" customHeight="1" x14ac:dyDescent="0.25">
      <c r="A22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2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2" s="5">
        <f>CurrencyBalance01[[#This Row],[Actual]] - CurrencyBalance01[[#This Row],[Projected]]</f>
        <v>0</v>
      </c>
      <c r="D22" t="s">
        <v>10</v>
      </c>
    </row>
    <row r="23" spans="1:5" ht="20.100000000000001" customHeight="1" x14ac:dyDescent="0.25">
      <c r="A23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3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3" s="5">
        <f>CurrencyBalance01[[#This Row],[Actual]] - CurrencyBalance01[[#This Row],[Projected]]</f>
        <v>0</v>
      </c>
      <c r="D23" t="s">
        <v>12</v>
      </c>
    </row>
    <row r="24" spans="1:5" ht="20.100000000000001" customHeight="1" x14ac:dyDescent="0.25">
      <c r="A24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4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4" s="5">
        <f>CurrencyBalance01[[#This Row],[Actual]] - CurrencyBalance01[[#This Row],[Projected]]</f>
        <v>0</v>
      </c>
      <c r="D24" t="s">
        <v>13</v>
      </c>
    </row>
    <row r="25" spans="1:5" ht="20.100000000000001" customHeight="1" x14ac:dyDescent="0.25">
      <c r="A25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5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5" s="5">
        <f>CurrencyBalance01[[#This Row],[Actual]] - CurrencyBalance01[[#This Row],[Projected]]</f>
        <v>0</v>
      </c>
      <c r="D25" t="s">
        <v>14</v>
      </c>
    </row>
    <row r="26" spans="1:5" ht="20.100000000000001" customHeight="1" x14ac:dyDescent="0.25">
      <c r="A26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6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6" s="5">
        <f>CurrencyBalance01[[#This Row],[Actual]] - CurrencyBalance01[[#This Row],[Projected]]</f>
        <v>0</v>
      </c>
      <c r="D26" t="s">
        <v>15</v>
      </c>
    </row>
    <row r="27" spans="1:5" ht="20.100000000000001" customHeight="1" x14ac:dyDescent="0.25">
      <c r="A27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7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7" s="5">
        <f>CurrencyBalance01[[#This Row],[Actual]] - CurrencyBalance01[[#This Row],[Projected]]</f>
        <v>0</v>
      </c>
      <c r="D27" t="s">
        <v>16</v>
      </c>
    </row>
    <row r="28" spans="1:5" ht="20.100000000000001" customHeight="1" x14ac:dyDescent="0.25"/>
    <row r="29" spans="1:5" ht="20.100000000000001" customHeight="1" x14ac:dyDescent="0.25"/>
    <row r="30" spans="1:5" ht="20.100000000000001" customHeight="1" thickBot="1" x14ac:dyDescent="0.35">
      <c r="A30" s="11" t="s">
        <v>38</v>
      </c>
      <c r="B30" s="11"/>
    </row>
    <row r="31" spans="1:5" ht="20.100000000000001" customHeight="1" thickTop="1" x14ac:dyDescent="0.25"/>
    <row r="32" spans="1:5" ht="20.100000000000001" customHeight="1" x14ac:dyDescent="0.25">
      <c r="A32" s="1" t="s">
        <v>4</v>
      </c>
      <c r="B32" s="1" t="s">
        <v>5</v>
      </c>
      <c r="C32" s="2" t="s">
        <v>6</v>
      </c>
      <c r="D32" t="s">
        <v>0</v>
      </c>
      <c r="E32" t="s">
        <v>1</v>
      </c>
    </row>
    <row r="33" spans="1:11" ht="20.100000000000001" customHeight="1" x14ac:dyDescent="0.25">
      <c r="A33" s="9">
        <f xml:space="preserve"> SUMIFS(Transactions01[Projected Amount (EUR)], Transactions01[Type], TransactionsSummary01[[#This Row],[Type]], Transactions01[Category], TransactionsSummary01[[#This Row],[Category]])</f>
        <v>0</v>
      </c>
      <c r="B33" s="9">
        <f xml:space="preserve"> SUMIFS(Transactions01[Actual Amount (EUR)], Transactions01[Type], TransactionsSummary01[[#This Row],[Type]], Transactions01[Category], TransactionsSummary01[[#This Row],[Category]])</f>
        <v>0</v>
      </c>
      <c r="C33" s="9">
        <f>TransactionsSummary01[[#This Row],[Actual]]-TransactionsSummary01[[#This Row],[Projected]]</f>
        <v>0</v>
      </c>
      <c r="D33" t="s">
        <v>23</v>
      </c>
      <c r="E33" t="s">
        <v>23</v>
      </c>
    </row>
    <row r="34" spans="1:11" ht="20.100000000000001" customHeight="1" x14ac:dyDescent="0.25">
      <c r="A34" s="9">
        <f xml:space="preserve"> SUMIFS(Transactions01[Projected Amount (EUR)], Transactions01[Type], TransactionsSummary01[[#This Row],[Type]], Transactions01[Category], TransactionsSummary01[[#This Row],[Category]])</f>
        <v>0</v>
      </c>
      <c r="B34" s="9">
        <f xml:space="preserve"> SUMIFS(Transactions01[Actual Amount (EUR)], Transactions01[Type], TransactionsSummary01[[#This Row],[Type]], Transactions01[Category], TransactionsSummary01[[#This Row],[Category]])</f>
        <v>0</v>
      </c>
      <c r="C34" s="9">
        <f>TransactionsSummary01[[#This Row],[Actual]]-TransactionsSummary01[[#This Row],[Projected]]</f>
        <v>0</v>
      </c>
      <c r="D34" s="7" t="s">
        <v>27</v>
      </c>
      <c r="E34" t="s">
        <v>24</v>
      </c>
    </row>
    <row r="35" spans="1:11" ht="20.100000000000001" customHeight="1" x14ac:dyDescent="0.25">
      <c r="A35" s="9">
        <f xml:space="preserve"> SUMIFS(Transactions01[Projected Amount (EUR)], Transactions01[Type], TransactionsSummary01[[#This Row],[Type]], Transactions01[Category], TransactionsSummary01[[#This Row],[Category]])</f>
        <v>0</v>
      </c>
      <c r="B35" s="9">
        <f xml:space="preserve"> SUMIFS(Transactions01[Actual Amount (EUR)], Transactions01[Type], TransactionsSummary01[[#This Row],[Type]], Transactions01[Category], TransactionsSummary01[[#This Row],[Category]])</f>
        <v>0</v>
      </c>
      <c r="C35" s="9">
        <f>TransactionsSummary01[[#This Row],[Actual]]-TransactionsSummary01[[#This Row],[Projected]]</f>
        <v>0</v>
      </c>
      <c r="D35" s="7" t="s">
        <v>27</v>
      </c>
      <c r="E35" t="s">
        <v>26</v>
      </c>
    </row>
    <row r="36" spans="1:11" ht="20.100000000000001" customHeight="1" x14ac:dyDescent="0.25">
      <c r="A36" s="9">
        <f xml:space="preserve"> SUMIFS(Transactions01[Projected Amount (EUR)], Transactions01[Type], TransactionsSummary01[[#This Row],[Type]], Transactions01[Category], TransactionsSummary01[[#This Row],[Category]])</f>
        <v>0</v>
      </c>
      <c r="B36" s="9">
        <f xml:space="preserve"> SUMIFS(Transactions01[Actual Amount (EUR)], Transactions01[Type], TransactionsSummary01[[#This Row],[Type]], Transactions01[Category], TransactionsSummary01[[#This Row],[Category]])</f>
        <v>0</v>
      </c>
      <c r="C36" s="9">
        <f>TransactionsSummary01[[#This Row],[Actual]]-TransactionsSummary01[[#This Row],[Projected]]</f>
        <v>0</v>
      </c>
      <c r="D36" s="7" t="s">
        <v>27</v>
      </c>
      <c r="E36" t="s">
        <v>22</v>
      </c>
    </row>
    <row r="37" spans="1:11" ht="20.100000000000001" customHeight="1" x14ac:dyDescent="0.25">
      <c r="A37" s="9">
        <f xml:space="preserve"> SUMIFS(Transactions01[Projected Amount (EUR)], Transactions01[Type], TransactionsSummary01[[#This Row],[Type]], Transactions01[Category], TransactionsSummary01[[#This Row],[Category]])</f>
        <v>0</v>
      </c>
      <c r="B37" s="9">
        <f xml:space="preserve"> SUMIFS(Transactions01[Actual Amount (EUR)], Transactions01[Type], TransactionsSummary01[[#This Row],[Type]], Transactions01[Category], TransactionsSummary01[[#This Row],[Category]])</f>
        <v>0</v>
      </c>
      <c r="C37" s="9">
        <f>TransactionsSummary01[[#This Row],[Actual]]-TransactionsSummary01[[#This Row],[Projected]]</f>
        <v>0</v>
      </c>
      <c r="D37" s="7" t="s">
        <v>25</v>
      </c>
      <c r="E37" t="s">
        <v>24</v>
      </c>
    </row>
    <row r="38" spans="1:11" ht="20.100000000000001" customHeight="1" x14ac:dyDescent="0.25">
      <c r="A38" s="9">
        <f xml:space="preserve"> SUMIFS(Transactions01[Projected Amount (EUR)], Transactions01[Type], TransactionsSummary01[[#This Row],[Type]], Transactions01[Category], TransactionsSummary01[[#This Row],[Category]])</f>
        <v>0</v>
      </c>
      <c r="B38" s="9">
        <f xml:space="preserve"> SUMIFS(Transactions01[Actual Amount (EUR)], Transactions01[Type], TransactionsSummary01[[#This Row],[Type]], Transactions01[Category], TransactionsSummary01[[#This Row],[Category]])</f>
        <v>0</v>
      </c>
      <c r="C38" s="9">
        <f>TransactionsSummary01[[#This Row],[Actual]]-TransactionsSummary01[[#This Row],[Projected]]</f>
        <v>0</v>
      </c>
      <c r="D38" s="7" t="s">
        <v>25</v>
      </c>
      <c r="E38" t="s">
        <v>26</v>
      </c>
    </row>
    <row r="39" spans="1:11" ht="20.100000000000001" customHeight="1" x14ac:dyDescent="0.25">
      <c r="A39" s="9">
        <f xml:space="preserve"> SUMIFS(Transactions01[Projected Amount (EUR)], Transactions01[Type], TransactionsSummary01[[#This Row],[Type]], Transactions01[Category], TransactionsSummary01[[#This Row],[Category]])</f>
        <v>0</v>
      </c>
      <c r="B39" s="9">
        <f xml:space="preserve"> SUMIFS(Transactions01[Actual Amount (EUR)], Transactions01[Type], TransactionsSummary01[[#This Row],[Type]], Transactions01[Category], TransactionsSummary01[[#This Row],[Category]])</f>
        <v>0</v>
      </c>
      <c r="C39" s="9">
        <f>TransactionsSummary01[[#This Row],[Actual]]-TransactionsSummary01[[#This Row],[Projected]]</f>
        <v>0</v>
      </c>
      <c r="D39" s="7" t="s">
        <v>25</v>
      </c>
      <c r="E39" t="s">
        <v>22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11" t="s">
        <v>28</v>
      </c>
      <c r="B42" s="11"/>
    </row>
    <row r="43" spans="1:11" ht="20.100000000000001" customHeight="1" thickTop="1" x14ac:dyDescent="0.25"/>
    <row r="44" spans="1:11" ht="20.100000000000001" customHeight="1" x14ac:dyDescent="0.25">
      <c r="A44" t="s">
        <v>34</v>
      </c>
      <c r="B44" t="s">
        <v>35</v>
      </c>
      <c r="C44" t="s">
        <v>29</v>
      </c>
      <c r="D44" t="s">
        <v>0</v>
      </c>
      <c r="E44" t="s">
        <v>1</v>
      </c>
      <c r="F44" t="s">
        <v>7</v>
      </c>
      <c r="G44" t="s">
        <v>2</v>
      </c>
      <c r="H44" t="s">
        <v>30</v>
      </c>
      <c r="I44" t="s">
        <v>31</v>
      </c>
      <c r="J44" t="s">
        <v>32</v>
      </c>
      <c r="K44" t="s">
        <v>33</v>
      </c>
    </row>
    <row r="45" spans="1:11" ht="20.100000000000001" customHeight="1" x14ac:dyDescent="0.25">
      <c r="A45" s="10" cm="1">
        <f t="array" ref="A45">CONVERT2EUR(Transactions01[[#This Row],[Projected Currency]], Transactions01[[#This Row],[Projected Amount]])</f>
        <v>0</v>
      </c>
      <c r="B45" s="10" cm="1">
        <f t="array" ref="B45">CONVERT2EUR(Transactions01[[#This Row],[Actual Currency]], Transactions01[[#This Row],[Actual Amount]])</f>
        <v>0</v>
      </c>
      <c r="C45" s="10">
        <f>Transactions01[[#This Row],[Actual Amount (EUR)]] - Transactions01[[#This Row],[Projected Amount (EUR)]]</f>
        <v>0</v>
      </c>
      <c r="D45" s="5"/>
      <c r="E45" s="5"/>
      <c r="F45" s="5"/>
      <c r="G45" s="5"/>
      <c r="I45" s="5"/>
      <c r="J45" s="5"/>
      <c r="K45" s="5"/>
    </row>
    <row r="46" spans="1:11" ht="20.100000000000001" customHeight="1" x14ac:dyDescent="0.25">
      <c r="A46" s="10" cm="1">
        <f t="array" ref="A46">CONVERT2EUR(Transactions01[[#This Row],[Projected Currency]], Transactions01[[#This Row],[Projected Amount]])</f>
        <v>0</v>
      </c>
      <c r="B46" s="10" cm="1">
        <f t="array" ref="B46">CONVERT2EUR(Transactions01[[#This Row],[Actual Currency]], Transactions01[[#This Row],[Actual Amount]])</f>
        <v>0</v>
      </c>
      <c r="C46" s="10">
        <f>Transactions01[[#This Row],[Actual Amount (EUR)]] - Transactions01[[#This Row],[Projected Amount (EUR)]]</f>
        <v>0</v>
      </c>
      <c r="D46" s="5"/>
      <c r="E46" s="5"/>
      <c r="F46" s="5"/>
      <c r="G46" s="5"/>
      <c r="I46" s="5"/>
      <c r="J46" s="5"/>
      <c r="K46" s="5"/>
    </row>
    <row r="47" spans="1:11" ht="20.100000000000001" customHeight="1" x14ac:dyDescent="0.25">
      <c r="A47" s="10" cm="1">
        <f t="array" ref="A47">CONVERT2EUR(Transactions01[[#This Row],[Projected Currency]], Transactions01[[#This Row],[Projected Amount]])</f>
        <v>0</v>
      </c>
      <c r="B47" s="10" cm="1">
        <f t="array" ref="B47">CONVERT2EUR(Transactions01[[#This Row],[Actual Currency]], Transactions01[[#This Row],[Actual Amount]])</f>
        <v>0</v>
      </c>
      <c r="C47" s="10">
        <f>Transactions01[[#This Row],[Actual Amount (EUR)]] - Transactions01[[#This Row],[Projected Amount (EUR)]]</f>
        <v>0</v>
      </c>
      <c r="D47" s="5"/>
      <c r="E47" s="5"/>
      <c r="F47" s="5"/>
      <c r="G47" s="5"/>
      <c r="I47" s="5"/>
      <c r="J47" s="5"/>
      <c r="K47" s="5"/>
    </row>
    <row r="48" spans="1:11" ht="20.100000000000001" customHeight="1" x14ac:dyDescent="0.25">
      <c r="A48" s="10" cm="1">
        <f t="array" ref="A48">CONVERT2EUR(Transactions01[[#This Row],[Projected Currency]], Transactions01[[#This Row],[Projected Amount]])</f>
        <v>0</v>
      </c>
      <c r="B48" s="10" cm="1">
        <f t="array" ref="B48">CONVERT2EUR(Transactions01[[#This Row],[Actual Currency]], Transactions01[[#This Row],[Actual Amount]])</f>
        <v>0</v>
      </c>
      <c r="C48" s="10">
        <f>Transactions01[[#This Row],[Actual Amount (EUR)]] - Transactions01[[#This Row],[Projected Amount (EUR)]]</f>
        <v>0</v>
      </c>
      <c r="D48" s="5"/>
      <c r="E48" s="5"/>
      <c r="F48" s="5"/>
      <c r="G48" s="5"/>
      <c r="I48" s="5"/>
      <c r="J48" s="5"/>
      <c r="K48" s="5"/>
    </row>
    <row r="49" spans="1:11" ht="20.100000000000001" customHeight="1" x14ac:dyDescent="0.25">
      <c r="A49" s="10" cm="1">
        <f t="array" ref="A49">CONVERT2EUR(Transactions01[[#This Row],[Projected Currency]], Transactions01[[#This Row],[Projected Amount]])</f>
        <v>0</v>
      </c>
      <c r="B49" s="10" cm="1">
        <f t="array" ref="B49">CONVERT2EUR(Transactions01[[#This Row],[Actual Currency]], Transactions01[[#This Row],[Actual Amount]])</f>
        <v>0</v>
      </c>
      <c r="C49" s="10">
        <f>Transactions01[[#This Row],[Actual Amount (EUR)]] - Transactions01[[#This Row],[Projected Amount (EUR)]]</f>
        <v>0</v>
      </c>
      <c r="D49" s="5"/>
      <c r="E49" s="5"/>
      <c r="F49" s="5"/>
      <c r="G49" s="5"/>
      <c r="I49" s="5"/>
      <c r="J49" s="5"/>
      <c r="K49" s="5"/>
    </row>
    <row r="50" spans="1:11" ht="20.100000000000001" customHeight="1" x14ac:dyDescent="0.25">
      <c r="A50" s="10" cm="1">
        <f t="array" ref="A50">CONVERT2EUR(Transactions01[[#This Row],[Projected Currency]], Transactions01[[#This Row],[Projected Amount]])</f>
        <v>0</v>
      </c>
      <c r="B50" s="10" cm="1">
        <f t="array" ref="B50">CONVERT2EUR(Transactions01[[#This Row],[Actual Currency]], Transactions01[[#This Row],[Actual Amount]])</f>
        <v>0</v>
      </c>
      <c r="C50" s="10">
        <f>Transactions01[[#This Row],[Actual Amount (EUR)]] - Transactions01[[#This Row],[Projected Amount (EUR)]]</f>
        <v>0</v>
      </c>
      <c r="D50" s="5"/>
      <c r="E50" s="5"/>
      <c r="F50" s="5"/>
      <c r="G50" s="5"/>
      <c r="I50" s="5"/>
      <c r="J50" s="5"/>
      <c r="K50" s="5"/>
    </row>
    <row r="51" spans="1:11" ht="20.100000000000001" customHeight="1" x14ac:dyDescent="0.25">
      <c r="A51" s="10" cm="1">
        <f t="array" ref="A51">CONVERT2EUR(Transactions01[[#This Row],[Projected Currency]], Transactions01[[#This Row],[Projected Amount]])</f>
        <v>0</v>
      </c>
      <c r="B51" s="10" cm="1">
        <f t="array" ref="B51">CONVERT2EUR(Transactions01[[#This Row],[Actual Currency]], Transactions01[[#This Row],[Actual Amount]])</f>
        <v>0</v>
      </c>
      <c r="C51" s="10">
        <f>Transactions01[[#This Row],[Actual Amount (EUR)]] - Transactions01[[#This Row],[Projected Amount (EUR)]]</f>
        <v>0</v>
      </c>
      <c r="D51" s="5"/>
      <c r="E51" s="5"/>
      <c r="F51" s="5"/>
      <c r="G51" s="5"/>
      <c r="I51" s="5"/>
      <c r="J51" s="5"/>
      <c r="K51" s="5"/>
    </row>
    <row r="52" spans="1:11" ht="20.100000000000001" customHeight="1" x14ac:dyDescent="0.25">
      <c r="A52" s="10" cm="1">
        <f t="array" ref="A52">CONVERT2EUR(Transactions01[[#This Row],[Projected Currency]], Transactions01[[#This Row],[Projected Amount]])</f>
        <v>0</v>
      </c>
      <c r="B52" s="10" cm="1">
        <f t="array" ref="B52">CONVERT2EUR(Transactions01[[#This Row],[Actual Currency]], Transactions01[[#This Row],[Actual Amount]])</f>
        <v>0</v>
      </c>
      <c r="C52" s="10">
        <f>Transactions01[[#This Row],[Actual Amount (EUR)]] - Transactions01[[#This Row],[Projected Amount (EUR)]]</f>
        <v>0</v>
      </c>
      <c r="D52" s="5"/>
      <c r="E52" s="5"/>
      <c r="F52" s="5"/>
      <c r="G52" s="5"/>
      <c r="I52" s="5"/>
      <c r="J52" s="5"/>
      <c r="K52" s="5"/>
    </row>
    <row r="53" spans="1:11" ht="20.100000000000001" customHeight="1" x14ac:dyDescent="0.25">
      <c r="A53" s="10" cm="1">
        <f t="array" ref="A53">CONVERT2EUR(Transactions01[[#This Row],[Projected Currency]], Transactions01[[#This Row],[Projected Amount]])</f>
        <v>0</v>
      </c>
      <c r="B53" s="10" cm="1">
        <f t="array" ref="B53">CONVERT2EUR(Transactions01[[#This Row],[Actual Currency]], Transactions01[[#This Row],[Actual Amount]])</f>
        <v>0</v>
      </c>
      <c r="C53" s="10">
        <f>Transactions01[[#This Row],[Actual Amount (EUR)]] - Transactions01[[#This Row],[Projected Amount (EUR)]]</f>
        <v>0</v>
      </c>
      <c r="D53" s="5"/>
      <c r="E53" s="5"/>
      <c r="F53" s="5"/>
      <c r="G53" s="5"/>
      <c r="I53" s="5"/>
      <c r="J53" s="5"/>
      <c r="K53" s="5"/>
    </row>
    <row r="54" spans="1:11" ht="20.100000000000001" customHeight="1" x14ac:dyDescent="0.25">
      <c r="A54" s="10" cm="1">
        <f t="array" ref="A54">CONVERT2EUR(Transactions01[[#This Row],[Projected Currency]], Transactions01[[#This Row],[Projected Amount]])</f>
        <v>0</v>
      </c>
      <c r="B54" s="10" cm="1">
        <f t="array" ref="B54">CONVERT2EUR(Transactions01[[#This Row],[Actual Currency]], Transactions01[[#This Row],[Actual Amount]])</f>
        <v>0</v>
      </c>
      <c r="C54" s="10">
        <f>Transactions01[[#This Row],[Actual Amount (EUR)]] - Transactions01[[#This Row],[Projected Amount (EUR)]]</f>
        <v>0</v>
      </c>
      <c r="D54" s="5"/>
      <c r="E54" s="5"/>
      <c r="F54" s="5"/>
      <c r="G54" s="5"/>
      <c r="I54" s="5"/>
      <c r="J54" s="5"/>
      <c r="K54" s="5"/>
    </row>
    <row r="55" spans="1:11" ht="20.100000000000001" customHeight="1" x14ac:dyDescent="0.25">
      <c r="A55" s="10" cm="1">
        <f t="array" ref="A55">CONVERT2EUR(Transactions01[[#This Row],[Projected Currency]], Transactions01[[#This Row],[Projected Amount]])</f>
        <v>0</v>
      </c>
      <c r="B55" s="10" cm="1">
        <f t="array" ref="B55">CONVERT2EUR(Transactions01[[#This Row],[Actual Currency]], Transactions01[[#This Row],[Actual Amount]])</f>
        <v>0</v>
      </c>
      <c r="C55" s="10">
        <f>Transactions01[[#This Row],[Actual Amount (EUR)]] - Transactions01[[#This Row],[Projected Amount (EUR)]]</f>
        <v>0</v>
      </c>
      <c r="D55" s="5"/>
      <c r="E55" s="5"/>
      <c r="F55" s="5"/>
      <c r="G55" s="5"/>
      <c r="I55" s="5"/>
      <c r="J55" s="5"/>
      <c r="K55" s="5"/>
    </row>
    <row r="56" spans="1:11" ht="20.100000000000001" customHeight="1" x14ac:dyDescent="0.25">
      <c r="A56" s="10" cm="1">
        <f t="array" ref="A56">CONVERT2EUR(Transactions01[[#This Row],[Projected Currency]], Transactions01[[#This Row],[Projected Amount]])</f>
        <v>0</v>
      </c>
      <c r="B56" s="10" cm="1">
        <f t="array" ref="B56">CONVERT2EUR(Transactions01[[#This Row],[Actual Currency]], Transactions01[[#This Row],[Actual Amount]])</f>
        <v>0</v>
      </c>
      <c r="C56" s="10">
        <f>Transactions01[[#This Row],[Actual Amount (EUR)]] - Transactions01[[#This Row],[Projected Amount (EUR)]]</f>
        <v>0</v>
      </c>
      <c r="D56" s="5"/>
      <c r="E56" s="5"/>
      <c r="F56" s="5"/>
      <c r="G56" s="5"/>
      <c r="I56" s="5"/>
      <c r="J56" s="5"/>
      <c r="K56" s="5"/>
    </row>
    <row r="57" spans="1:11" ht="20.100000000000001" customHeight="1" x14ac:dyDescent="0.25">
      <c r="A57" s="10" cm="1">
        <f t="array" ref="A57">CONVERT2EUR(Transactions01[[#This Row],[Projected Currency]], Transactions01[[#This Row],[Projected Amount]])</f>
        <v>0</v>
      </c>
      <c r="B57" s="10" cm="1">
        <f t="array" ref="B57">CONVERT2EUR(Transactions01[[#This Row],[Actual Currency]], Transactions01[[#This Row],[Actual Amount]])</f>
        <v>0</v>
      </c>
      <c r="C57" s="10">
        <f>Transactions01[[#This Row],[Actual Amount (EUR)]] - Transactions01[[#This Row],[Projected Amount (EUR)]]</f>
        <v>0</v>
      </c>
      <c r="D57" s="5"/>
      <c r="E57" s="5"/>
      <c r="F57" s="5"/>
      <c r="G57" s="5"/>
      <c r="I57" s="5"/>
      <c r="J57" s="5"/>
      <c r="K57" s="5"/>
    </row>
    <row r="58" spans="1:11" ht="20.100000000000001" customHeight="1" x14ac:dyDescent="0.25">
      <c r="A58" s="10" cm="1">
        <f t="array" ref="A58">CONVERT2EUR(Transactions01[[#This Row],[Projected Currency]], Transactions01[[#This Row],[Projected Amount]])</f>
        <v>0</v>
      </c>
      <c r="B58" s="10" cm="1">
        <f t="array" ref="B58">CONVERT2EUR(Transactions01[[#This Row],[Actual Currency]], Transactions01[[#This Row],[Actual Amount]])</f>
        <v>0</v>
      </c>
      <c r="C58" s="10">
        <f>Transactions01[[#This Row],[Actual Amount (EUR)]] - Transactions01[[#This Row],[Projected Amount (EUR)]]</f>
        <v>0</v>
      </c>
      <c r="D58" s="5"/>
      <c r="E58" s="5"/>
      <c r="F58" s="5"/>
      <c r="G58" s="5"/>
      <c r="I58" s="5"/>
      <c r="J58" s="5"/>
      <c r="K58" s="5"/>
    </row>
    <row r="59" spans="1:11" ht="20.100000000000001" customHeight="1" x14ac:dyDescent="0.25">
      <c r="A59" s="10" cm="1">
        <f t="array" ref="A59">CONVERT2EUR(Transactions01[[#This Row],[Projected Currency]], Transactions01[[#This Row],[Projected Amount]])</f>
        <v>0</v>
      </c>
      <c r="B59" s="10" cm="1">
        <f t="array" ref="B59">CONVERT2EUR(Transactions01[[#This Row],[Actual Currency]], Transactions01[[#This Row],[Actual Amount]])</f>
        <v>0</v>
      </c>
      <c r="C59" s="10">
        <f>Transactions01[[#This Row],[Actual Amount (EUR)]] - Transactions01[[#This Row],[Projected Amount (EUR)]]</f>
        <v>0</v>
      </c>
      <c r="D59" s="5"/>
      <c r="E59" s="5"/>
      <c r="F59" s="5"/>
      <c r="G59" s="5"/>
      <c r="I59" s="5"/>
      <c r="J59" s="5"/>
      <c r="K59" s="5"/>
    </row>
    <row r="60" spans="1:11" ht="20.100000000000001" customHeight="1" x14ac:dyDescent="0.25">
      <c r="A60" s="10" cm="1">
        <f t="array" ref="A60">CONVERT2EUR(Transactions01[[#This Row],[Projected Currency]], Transactions01[[#This Row],[Projected Amount]])</f>
        <v>0</v>
      </c>
      <c r="B60" s="10" cm="1">
        <f t="array" ref="B60">CONVERT2EUR(Transactions01[[#This Row],[Actual Currency]], Transactions01[[#This Row],[Actual Amount]])</f>
        <v>0</v>
      </c>
      <c r="C60" s="10">
        <f>Transactions01[[#This Row],[Actual Amount (EUR)]] - Transactions01[[#This Row],[Projected Amount (EUR)]]</f>
        <v>0</v>
      </c>
      <c r="D60" s="5"/>
      <c r="E60" s="5"/>
      <c r="F60" s="5"/>
      <c r="G60" s="5"/>
      <c r="I60" s="5"/>
      <c r="J60" s="5"/>
      <c r="K60" s="5"/>
    </row>
    <row r="61" spans="1:11" ht="20.100000000000001" customHeight="1" x14ac:dyDescent="0.25">
      <c r="A61" s="10" cm="1">
        <f t="array" ref="A61">CONVERT2EUR(Transactions01[[#This Row],[Projected Currency]], Transactions01[[#This Row],[Projected Amount]])</f>
        <v>0</v>
      </c>
      <c r="B61" s="10" cm="1">
        <f t="array" ref="B61">CONVERT2EUR(Transactions01[[#This Row],[Actual Currency]], Transactions01[[#This Row],[Actual Amount]])</f>
        <v>0</v>
      </c>
      <c r="C61" s="10">
        <f>Transactions01[[#This Row],[Actual Amount (EUR)]] - Transactions01[[#This Row],[Projected Amount (EUR)]]</f>
        <v>0</v>
      </c>
      <c r="D61" s="5"/>
      <c r="E61" s="5"/>
      <c r="F61" s="5"/>
      <c r="G61" s="5"/>
      <c r="I61" s="5"/>
      <c r="J61" s="5"/>
      <c r="K61" s="5"/>
    </row>
    <row r="62" spans="1:11" ht="20.100000000000001" customHeight="1" x14ac:dyDescent="0.25">
      <c r="A62" s="10" cm="1">
        <f t="array" ref="A62">CONVERT2EUR(Transactions01[[#This Row],[Projected Currency]], Transactions01[[#This Row],[Projected Amount]])</f>
        <v>0</v>
      </c>
      <c r="B62" s="10" cm="1">
        <f t="array" ref="B62">CONVERT2EUR(Transactions01[[#This Row],[Actual Currency]], Transactions01[[#This Row],[Actual Amount]])</f>
        <v>0</v>
      </c>
      <c r="C62" s="10">
        <f>Transactions01[[#This Row],[Actual Amount (EUR)]] - Transactions01[[#This Row],[Projected Amount (EUR)]]</f>
        <v>0</v>
      </c>
      <c r="D62" s="5"/>
      <c r="E62" s="5"/>
      <c r="F62" s="5"/>
      <c r="G62" s="5"/>
      <c r="I62" s="5"/>
      <c r="J62" s="5"/>
      <c r="K62" s="5"/>
    </row>
    <row r="63" spans="1:11" ht="20.100000000000001" customHeight="1" x14ac:dyDescent="0.25">
      <c r="A63" s="10" cm="1">
        <f t="array" ref="A63">CONVERT2EUR(Transactions01[[#This Row],[Projected Currency]], Transactions01[[#This Row],[Projected Amount]])</f>
        <v>0</v>
      </c>
      <c r="B63" s="10" cm="1">
        <f t="array" ref="B63">CONVERT2EUR(Transactions01[[#This Row],[Actual Currency]], Transactions01[[#This Row],[Actual Amount]])</f>
        <v>0</v>
      </c>
      <c r="C63" s="10">
        <f>Transactions01[[#This Row],[Actual Amount (EUR)]] - Transactions01[[#This Row],[Projected Amount (EUR)]]</f>
        <v>0</v>
      </c>
      <c r="D63" s="5"/>
      <c r="E63" s="5"/>
      <c r="F63" s="5"/>
      <c r="G63" s="5"/>
      <c r="I63" s="5"/>
      <c r="J63" s="5"/>
      <c r="K63" s="5"/>
    </row>
    <row r="64" spans="1:11" ht="20.100000000000001" customHeight="1" x14ac:dyDescent="0.25">
      <c r="A64" s="10" cm="1">
        <f t="array" ref="A64">CONVERT2EUR(Transactions01[[#This Row],[Projected Currency]], Transactions01[[#This Row],[Projected Amount]])</f>
        <v>0</v>
      </c>
      <c r="B64" s="10" cm="1">
        <f t="array" ref="B64">CONVERT2EUR(Transactions01[[#This Row],[Actual Currency]], Transactions01[[#This Row],[Actual Amount]])</f>
        <v>0</v>
      </c>
      <c r="C64" s="10">
        <f>Transactions01[[#This Row],[Actual Amount (EUR)]] - Transactions01[[#This Row],[Projected Amount (EUR)]]</f>
        <v>0</v>
      </c>
      <c r="D64" s="5"/>
      <c r="E64" s="5"/>
      <c r="F64" s="5"/>
      <c r="G64" s="5"/>
      <c r="I64" s="5"/>
      <c r="J64" s="5"/>
      <c r="K64" s="5"/>
    </row>
    <row r="65" spans="1:11" ht="20.100000000000001" customHeight="1" x14ac:dyDescent="0.25">
      <c r="A65" s="10" cm="1">
        <f t="array" ref="A65">CONVERT2EUR(Transactions01[[#This Row],[Projected Currency]], Transactions01[[#This Row],[Projected Amount]])</f>
        <v>0</v>
      </c>
      <c r="B65" s="10" cm="1">
        <f t="array" ref="B65">CONVERT2EUR(Transactions01[[#This Row],[Actual Currency]], Transactions01[[#This Row],[Actual Amount]])</f>
        <v>0</v>
      </c>
      <c r="C65" s="10">
        <f>Transactions01[[#This Row],[Actual Amount (EUR)]] - Transactions01[[#This Row],[Projected Amount (EUR)]]</f>
        <v>0</v>
      </c>
      <c r="D65" s="5"/>
      <c r="E65" s="5"/>
      <c r="F65" s="5"/>
      <c r="G65" s="5"/>
      <c r="I65" s="5"/>
      <c r="J65" s="5"/>
      <c r="K65" s="5"/>
    </row>
    <row r="66" spans="1:11" ht="20.100000000000001" customHeight="1" x14ac:dyDescent="0.25">
      <c r="A66" s="10" cm="1">
        <f t="array" ref="A66">CONVERT2EUR(Transactions01[[#This Row],[Projected Currency]], Transactions01[[#This Row],[Projected Amount]])</f>
        <v>0</v>
      </c>
      <c r="B66" s="10" cm="1">
        <f t="array" ref="B66">CONVERT2EUR(Transactions01[[#This Row],[Actual Currency]], Transactions01[[#This Row],[Actual Amount]])</f>
        <v>0</v>
      </c>
      <c r="C66" s="10">
        <f>Transactions01[[#This Row],[Actual Amount (EUR)]] - Transactions01[[#This Row],[Projected Amount (EUR)]]</f>
        <v>0</v>
      </c>
      <c r="D66" s="5"/>
      <c r="E66" s="5"/>
      <c r="F66" s="5"/>
      <c r="G66" s="5"/>
      <c r="I66" s="5"/>
      <c r="J66" s="5"/>
      <c r="K66" s="5"/>
    </row>
    <row r="67" spans="1:11" ht="20.100000000000001" customHeight="1" x14ac:dyDescent="0.25">
      <c r="A67" s="10" cm="1">
        <f t="array" ref="A67">CONVERT2EUR(Transactions01[[#This Row],[Projected Currency]], Transactions01[[#This Row],[Projected Amount]])</f>
        <v>0</v>
      </c>
      <c r="B67" s="10" cm="1">
        <f t="array" ref="B67">CONVERT2EUR(Transactions01[[#This Row],[Actual Currency]], Transactions01[[#This Row],[Actual Amount]])</f>
        <v>0</v>
      </c>
      <c r="C67" s="10">
        <f>Transactions01[[#This Row],[Actual Amount (EUR)]] - Transactions01[[#This Row],[Projected Amount (EUR)]]</f>
        <v>0</v>
      </c>
      <c r="D67" s="5"/>
      <c r="E67" s="5"/>
      <c r="F67" s="5"/>
      <c r="G67" s="5"/>
      <c r="I67" s="5"/>
      <c r="J67" s="5"/>
      <c r="K67" s="5"/>
    </row>
    <row r="68" spans="1:11" ht="20.100000000000001" customHeight="1" x14ac:dyDescent="0.25">
      <c r="A68" s="10" cm="1">
        <f t="array" ref="A68">CONVERT2EUR(Transactions01[[#This Row],[Projected Currency]], Transactions01[[#This Row],[Projected Amount]])</f>
        <v>0</v>
      </c>
      <c r="B68" s="10" cm="1">
        <f t="array" ref="B68">CONVERT2EUR(Transactions01[[#This Row],[Actual Currency]], Transactions01[[#This Row],[Actual Amount]])</f>
        <v>0</v>
      </c>
      <c r="C68" s="10">
        <f>Transactions01[[#This Row],[Actual Amount (EUR)]] - Transactions01[[#This Row],[Projected Amount (EUR)]]</f>
        <v>0</v>
      </c>
      <c r="D68" s="5"/>
      <c r="E68" s="5"/>
      <c r="F68" s="5"/>
      <c r="G68" s="5"/>
      <c r="I68" s="5"/>
      <c r="J68" s="5"/>
      <c r="K68" s="5"/>
    </row>
    <row r="69" spans="1:11" ht="20.100000000000001" customHeight="1" x14ac:dyDescent="0.25">
      <c r="A69" s="10" cm="1">
        <f t="array" ref="A69">CONVERT2EUR(Transactions01[[#This Row],[Projected Currency]], Transactions01[[#This Row],[Projected Amount]])</f>
        <v>0</v>
      </c>
      <c r="B69" s="10" cm="1">
        <f t="array" ref="B69">CONVERT2EUR(Transactions01[[#This Row],[Actual Currency]], Transactions01[[#This Row],[Actual Amount]])</f>
        <v>0</v>
      </c>
      <c r="C69" s="10">
        <f>Transactions01[[#This Row],[Actual Amount (EUR)]] - Transactions01[[#This Row],[Projected Amount (EUR)]]</f>
        <v>0</v>
      </c>
      <c r="D69" s="5"/>
      <c r="E69" s="5"/>
      <c r="F69" s="5"/>
      <c r="G69" s="5"/>
      <c r="I69" s="5"/>
      <c r="J69" s="5"/>
      <c r="K69" s="5"/>
    </row>
    <row r="70" spans="1:11" ht="20.100000000000001" customHeight="1" x14ac:dyDescent="0.25">
      <c r="A70" s="10" cm="1">
        <f t="array" ref="A70">CONVERT2EUR(Transactions01[[#This Row],[Projected Currency]], Transactions01[[#This Row],[Projected Amount]])</f>
        <v>0</v>
      </c>
      <c r="B70" s="10" cm="1">
        <f t="array" ref="B70">CONVERT2EUR(Transactions01[[#This Row],[Actual Currency]], Transactions01[[#This Row],[Actual Amount]])</f>
        <v>0</v>
      </c>
      <c r="C70" s="10">
        <f>Transactions01[[#This Row],[Actual Amount (EUR)]] - Transactions01[[#This Row],[Projected Amount (EUR)]]</f>
        <v>0</v>
      </c>
      <c r="D70" s="5"/>
      <c r="E70" s="5"/>
      <c r="F70" s="5"/>
      <c r="G70" s="5"/>
      <c r="I70" s="5"/>
      <c r="J70" s="5"/>
      <c r="K70" s="5"/>
    </row>
    <row r="71" spans="1:11" ht="20.100000000000001" customHeight="1" x14ac:dyDescent="0.25">
      <c r="A71" s="10" cm="1">
        <f t="array" ref="A71">CONVERT2EUR(Transactions01[[#This Row],[Projected Currency]], Transactions01[[#This Row],[Projected Amount]])</f>
        <v>0</v>
      </c>
      <c r="B71" s="10" cm="1">
        <f t="array" ref="B71">CONVERT2EUR(Transactions01[[#This Row],[Actual Currency]], Transactions01[[#This Row],[Actual Amount]])</f>
        <v>0</v>
      </c>
      <c r="C71" s="10">
        <f>Transactions01[[#This Row],[Actual Amount (EUR)]] - Transactions01[[#This Row],[Projected Amount (EUR)]]</f>
        <v>0</v>
      </c>
      <c r="D71" s="5"/>
      <c r="E71" s="5"/>
      <c r="F71" s="5"/>
      <c r="G71" s="5"/>
      <c r="I71" s="5"/>
      <c r="J71" s="5"/>
      <c r="K71" s="5"/>
    </row>
    <row r="72" spans="1:11" ht="20.100000000000001" customHeight="1" x14ac:dyDescent="0.25">
      <c r="A72" s="10" cm="1">
        <f t="array" ref="A72">CONVERT2EUR(Transactions01[[#This Row],[Projected Currency]], Transactions01[[#This Row],[Projected Amount]])</f>
        <v>0</v>
      </c>
      <c r="B72" s="10" cm="1">
        <f t="array" ref="B72">CONVERT2EUR(Transactions01[[#This Row],[Actual Currency]], Transactions01[[#This Row],[Actual Amount]])</f>
        <v>0</v>
      </c>
      <c r="C72" s="10">
        <f>Transactions01[[#This Row],[Actual Amount (EUR)]] - Transactions01[[#This Row],[Projected Amount (EUR)]]</f>
        <v>0</v>
      </c>
      <c r="D72" s="5"/>
      <c r="E72" s="5"/>
      <c r="F72" s="5"/>
      <c r="G72" s="5"/>
      <c r="I72" s="5"/>
      <c r="J72" s="5"/>
      <c r="K72" s="5"/>
    </row>
    <row r="73" spans="1:11" ht="20.100000000000001" customHeight="1" x14ac:dyDescent="0.25">
      <c r="A73" s="10" cm="1">
        <f t="array" ref="A73">CONVERT2EUR(Transactions01[[#This Row],[Projected Currency]], Transactions01[[#This Row],[Projected Amount]])</f>
        <v>0</v>
      </c>
      <c r="B73" s="10" cm="1">
        <f t="array" ref="B73">CONVERT2EUR(Transactions01[[#This Row],[Actual Currency]], Transactions01[[#This Row],[Actual Amount]])</f>
        <v>0</v>
      </c>
      <c r="C73" s="10">
        <f>Transactions01[[#This Row],[Actual Amount (EUR)]] - Transactions01[[#This Row],[Projected Amount (EUR)]]</f>
        <v>0</v>
      </c>
      <c r="D73" s="5"/>
      <c r="E73" s="5"/>
      <c r="F73" s="5"/>
      <c r="G73" s="5"/>
      <c r="I73" s="5"/>
      <c r="J73" s="5"/>
      <c r="K73" s="5"/>
    </row>
    <row r="74" spans="1:11" ht="20.100000000000001" customHeight="1" x14ac:dyDescent="0.25">
      <c r="A74" s="10" cm="1">
        <f t="array" ref="A74">CONVERT2EUR(Transactions01[[#This Row],[Projected Currency]], Transactions01[[#This Row],[Projected Amount]])</f>
        <v>0</v>
      </c>
      <c r="B74" s="10" cm="1">
        <f t="array" ref="B74">CONVERT2EUR(Transactions01[[#This Row],[Actual Currency]], Transactions01[[#This Row],[Actual Amount]])</f>
        <v>0</v>
      </c>
      <c r="C74" s="10">
        <f>Transactions01[[#This Row],[Actual Amount (EUR)]] - Transactions01[[#This Row],[Projected Amount (EUR)]]</f>
        <v>0</v>
      </c>
      <c r="D74" s="5"/>
      <c r="E74" s="5"/>
      <c r="F74" s="5"/>
      <c r="G74" s="5"/>
      <c r="I74" s="5"/>
      <c r="J74" s="5"/>
      <c r="K74" s="5"/>
    </row>
    <row r="75" spans="1:11" ht="20.100000000000001" customHeight="1" x14ac:dyDescent="0.25">
      <c r="A75" s="10" cm="1">
        <f t="array" ref="A75">CONVERT2EUR(Transactions01[[#This Row],[Projected Currency]], Transactions01[[#This Row],[Projected Amount]])</f>
        <v>0</v>
      </c>
      <c r="B75" s="10" cm="1">
        <f t="array" ref="B75">CONVERT2EUR(Transactions01[[#This Row],[Actual Currency]], Transactions01[[#This Row],[Actual Amount]])</f>
        <v>0</v>
      </c>
      <c r="C75" s="10">
        <f>Transactions01[[#This Row],[Actual Amount (EUR)]] - Transactions01[[#This Row],[Projected Amount (EUR)]]</f>
        <v>0</v>
      </c>
      <c r="D75" s="5"/>
      <c r="E75" s="5"/>
      <c r="F75" s="5"/>
      <c r="G75" s="5"/>
      <c r="I75" s="5"/>
      <c r="J75" s="5"/>
      <c r="K75" s="5"/>
    </row>
    <row r="76" spans="1:11" ht="20.100000000000001" customHeight="1" x14ac:dyDescent="0.25">
      <c r="A76" s="10" cm="1">
        <f t="array" ref="A76">CONVERT2EUR(Transactions01[[#This Row],[Projected Currency]], Transactions01[[#This Row],[Projected Amount]])</f>
        <v>0</v>
      </c>
      <c r="B76" s="10" cm="1">
        <f t="array" ref="B76">CONVERT2EUR(Transactions01[[#This Row],[Actual Currency]], Transactions01[[#This Row],[Actual Amount]])</f>
        <v>0</v>
      </c>
      <c r="C76" s="10">
        <f>Transactions01[[#This Row],[Actual Amount (EUR)]] - Transactions01[[#This Row],[Projected Amount (EUR)]]</f>
        <v>0</v>
      </c>
      <c r="D76" s="5"/>
      <c r="E76" s="5"/>
      <c r="F76" s="5"/>
      <c r="G76" s="5"/>
      <c r="I76" s="5"/>
      <c r="J76" s="5"/>
      <c r="K76" s="5"/>
    </row>
    <row r="77" spans="1:11" ht="20.100000000000001" customHeight="1" x14ac:dyDescent="0.25">
      <c r="A77" s="10" cm="1">
        <f t="array" ref="A77">CONVERT2EUR(Transactions01[[#This Row],[Projected Currency]], Transactions01[[#This Row],[Projected Amount]])</f>
        <v>0</v>
      </c>
      <c r="B77" s="10" cm="1">
        <f t="array" ref="B77">CONVERT2EUR(Transactions01[[#This Row],[Actual Currency]], Transactions01[[#This Row],[Actual Amount]])</f>
        <v>0</v>
      </c>
      <c r="C77" s="10">
        <f>Transactions01[[#This Row],[Actual Amount (EUR)]] - Transactions01[[#This Row],[Projected Amount (EUR)]]</f>
        <v>0</v>
      </c>
      <c r="D77" s="5"/>
      <c r="E77" s="5"/>
      <c r="F77" s="5"/>
      <c r="G77" s="5"/>
      <c r="I77" s="5"/>
      <c r="J77" s="5"/>
      <c r="K77" s="5"/>
    </row>
    <row r="78" spans="1:11" ht="20.100000000000001" customHeight="1" x14ac:dyDescent="0.25">
      <c r="A78" s="10" cm="1">
        <f t="array" ref="A78">CONVERT2EUR(Transactions01[[#This Row],[Projected Currency]], Transactions01[[#This Row],[Projected Amount]])</f>
        <v>0</v>
      </c>
      <c r="B78" s="10" cm="1">
        <f t="array" ref="B78">CONVERT2EUR(Transactions01[[#This Row],[Actual Currency]], Transactions01[[#This Row],[Actual Amount]])</f>
        <v>0</v>
      </c>
      <c r="C78" s="10">
        <f>Transactions01[[#This Row],[Actual Amount (EUR)]] - Transactions01[[#This Row],[Projected Amount (EUR)]]</f>
        <v>0</v>
      </c>
      <c r="D78" s="5"/>
      <c r="E78" s="5"/>
      <c r="F78" s="5"/>
      <c r="G78" s="5"/>
      <c r="I78" s="5"/>
      <c r="J78" s="5"/>
      <c r="K78" s="5"/>
    </row>
    <row r="79" spans="1:11" ht="20.100000000000001" customHeight="1" x14ac:dyDescent="0.25">
      <c r="A79" s="10" cm="1">
        <f t="array" ref="A79">CONVERT2EUR(Transactions01[[#This Row],[Projected Currency]], Transactions01[[#This Row],[Projected Amount]])</f>
        <v>0</v>
      </c>
      <c r="B79" s="10" cm="1">
        <f t="array" ref="B79">CONVERT2EUR(Transactions01[[#This Row],[Actual Currency]], Transactions01[[#This Row],[Actual Amount]])</f>
        <v>0</v>
      </c>
      <c r="C79" s="10">
        <f>Transactions01[[#This Row],[Actual Amount (EUR)]] - Transactions01[[#This Row],[Projected Amount (EUR)]]</f>
        <v>0</v>
      </c>
      <c r="D79" s="5"/>
      <c r="E79" s="5"/>
      <c r="F79" s="5"/>
      <c r="G79" s="5"/>
      <c r="I79" s="5"/>
      <c r="J79" s="5"/>
      <c r="K79" s="5"/>
    </row>
    <row r="80" spans="1:11" ht="20.100000000000001" customHeight="1" x14ac:dyDescent="0.25">
      <c r="A80" s="10" cm="1">
        <f t="array" ref="A80">CONVERT2EUR(Transactions01[[#This Row],[Projected Currency]], Transactions01[[#This Row],[Projected Amount]])</f>
        <v>0</v>
      </c>
      <c r="B80" s="10" cm="1">
        <f t="array" ref="B80">CONVERT2EUR(Transactions01[[#This Row],[Actual Currency]], Transactions01[[#This Row],[Actual Amount]])</f>
        <v>0</v>
      </c>
      <c r="C80" s="10">
        <f>Transactions01[[#This Row],[Actual Amount (EUR)]] - Transactions01[[#This Row],[Projected Amount (EUR)]]</f>
        <v>0</v>
      </c>
      <c r="D80" s="5"/>
      <c r="E80" s="5"/>
      <c r="F80" s="5"/>
      <c r="G80" s="5"/>
      <c r="I80" s="5"/>
      <c r="J80" s="5"/>
      <c r="K80" s="5"/>
    </row>
    <row r="81" spans="1:11" ht="20.100000000000001" customHeight="1" x14ac:dyDescent="0.25">
      <c r="A81" s="10" cm="1">
        <f t="array" ref="A81">CONVERT2EUR(Transactions01[[#This Row],[Projected Currency]], Transactions01[[#This Row],[Projected Amount]])</f>
        <v>0</v>
      </c>
      <c r="B81" s="10" cm="1">
        <f t="array" ref="B81">CONVERT2EUR(Transactions01[[#This Row],[Actual Currency]], Transactions01[[#This Row],[Actual Amount]])</f>
        <v>0</v>
      </c>
      <c r="C81" s="10">
        <f>Transactions01[[#This Row],[Actual Amount (EUR)]] - Transactions01[[#This Row],[Projected Amount (EUR)]]</f>
        <v>0</v>
      </c>
      <c r="D81" s="5"/>
      <c r="E81" s="5"/>
      <c r="F81" s="5"/>
      <c r="G81" s="5"/>
      <c r="I81" s="5"/>
      <c r="J81" s="5"/>
      <c r="K81" s="5"/>
    </row>
    <row r="82" spans="1:11" ht="20.100000000000001" customHeight="1" x14ac:dyDescent="0.25">
      <c r="A82" s="10" cm="1">
        <f t="array" ref="A82">CONVERT2EUR(Transactions01[[#This Row],[Projected Currency]], Transactions01[[#This Row],[Projected Amount]])</f>
        <v>0</v>
      </c>
      <c r="B82" s="10" cm="1">
        <f t="array" ref="B82">CONVERT2EUR(Transactions01[[#This Row],[Actual Currency]], Transactions01[[#This Row],[Actual Amount]])</f>
        <v>0</v>
      </c>
      <c r="C82" s="10">
        <f>Transactions01[[#This Row],[Actual Amount (EUR)]] - Transactions01[[#This Row],[Projected Amount (EUR)]]</f>
        <v>0</v>
      </c>
      <c r="D82" s="5"/>
      <c r="E82" s="5"/>
      <c r="F82" s="5"/>
      <c r="G82" s="5"/>
      <c r="I82" s="5"/>
      <c r="J82" s="5"/>
      <c r="K82" s="5"/>
    </row>
    <row r="83" spans="1:11" ht="20.100000000000001" customHeight="1" x14ac:dyDescent="0.25">
      <c r="A83" s="10" cm="1">
        <f t="array" ref="A83">CONVERT2EUR(Transactions01[[#This Row],[Projected Currency]], Transactions01[[#This Row],[Projected Amount]])</f>
        <v>0</v>
      </c>
      <c r="B83" s="10" cm="1">
        <f t="array" ref="B83">CONVERT2EUR(Transactions01[[#This Row],[Actual Currency]], Transactions01[[#This Row],[Actual Amount]])</f>
        <v>0</v>
      </c>
      <c r="C83" s="10">
        <f>Transactions01[[#This Row],[Actual Amount (EUR)]] - Transactions01[[#This Row],[Projected Amount (EUR)]]</f>
        <v>0</v>
      </c>
      <c r="D83" s="5"/>
      <c r="E83" s="5"/>
      <c r="F83" s="5"/>
      <c r="G83" s="5"/>
      <c r="I83" s="5"/>
      <c r="J83" s="5"/>
      <c r="K83" s="5"/>
    </row>
    <row r="84" spans="1:11" ht="20.100000000000001" customHeight="1" x14ac:dyDescent="0.25">
      <c r="A84" s="10" cm="1">
        <f t="array" ref="A84">CONVERT2EUR(Transactions01[[#This Row],[Projected Currency]], Transactions01[[#This Row],[Projected Amount]])</f>
        <v>0</v>
      </c>
      <c r="B84" s="10" cm="1">
        <f t="array" ref="B84">CONVERT2EUR(Transactions01[[#This Row],[Actual Currency]], Transactions01[[#This Row],[Actual Amount]])</f>
        <v>0</v>
      </c>
      <c r="C84" s="10">
        <f>Transactions01[[#This Row],[Actual Amount (EUR)]] - Transactions01[[#This Row],[Projected Amount (EUR)]]</f>
        <v>0</v>
      </c>
      <c r="D84" s="5"/>
      <c r="E84" s="5"/>
      <c r="F84" s="5"/>
      <c r="G84" s="5"/>
      <c r="I84" s="5"/>
      <c r="J84" s="5"/>
      <c r="K84" s="5"/>
    </row>
    <row r="85" spans="1:11" ht="20.100000000000001" customHeight="1" x14ac:dyDescent="0.25">
      <c r="A85" s="10" cm="1">
        <f t="array" ref="A85">CONVERT2EUR(Transactions01[[#This Row],[Projected Currency]], Transactions01[[#This Row],[Projected Amount]])</f>
        <v>0</v>
      </c>
      <c r="B85" s="10" cm="1">
        <f t="array" ref="B85">CONVERT2EUR(Transactions01[[#This Row],[Actual Currency]], Transactions01[[#This Row],[Actual Amount]])</f>
        <v>0</v>
      </c>
      <c r="C85" s="10">
        <f>Transactions01[[#This Row],[Actual Amount (EUR)]] - Transactions01[[#This Row],[Projected Amount (EUR)]]</f>
        <v>0</v>
      </c>
      <c r="D85" s="5"/>
      <c r="E85" s="5"/>
      <c r="F85" s="5"/>
      <c r="G85" s="5"/>
      <c r="I85" s="5"/>
      <c r="J85" s="5"/>
      <c r="K85" s="5"/>
    </row>
    <row r="86" spans="1:11" ht="20.100000000000001" customHeight="1" x14ac:dyDescent="0.25">
      <c r="A86" s="10" cm="1">
        <f t="array" ref="A86">CONVERT2EUR(Transactions01[[#This Row],[Projected Currency]], Transactions01[[#This Row],[Projected Amount]])</f>
        <v>0</v>
      </c>
      <c r="B86" s="10" cm="1">
        <f t="array" ref="B86">CONVERT2EUR(Transactions01[[#This Row],[Actual Currency]], Transactions01[[#This Row],[Actual Amount]])</f>
        <v>0</v>
      </c>
      <c r="C86" s="10">
        <f>Transactions01[[#This Row],[Actual Amount (EUR)]] - Transactions01[[#This Row],[Projected Amount (EUR)]]</f>
        <v>0</v>
      </c>
      <c r="D86" s="5"/>
      <c r="E86" s="5"/>
      <c r="F86" s="5"/>
      <c r="G86" s="5"/>
      <c r="I86" s="5"/>
      <c r="J86" s="5"/>
      <c r="K86" s="5"/>
    </row>
    <row r="87" spans="1:11" ht="20.100000000000001" customHeight="1" x14ac:dyDescent="0.25">
      <c r="A87" s="10" cm="1">
        <f t="array" ref="A87">CONVERT2EUR(Transactions01[[#This Row],[Projected Currency]], Transactions01[[#This Row],[Projected Amount]])</f>
        <v>0</v>
      </c>
      <c r="B87" s="10" cm="1">
        <f t="array" ref="B87">CONVERT2EUR(Transactions01[[#This Row],[Actual Currency]], Transactions01[[#This Row],[Actual Amount]])</f>
        <v>0</v>
      </c>
      <c r="C87" s="10">
        <f>Transactions01[[#This Row],[Actual Amount (EUR)]] - Transactions01[[#This Row],[Projected Amount (EUR)]]</f>
        <v>0</v>
      </c>
      <c r="D87" s="5"/>
      <c r="E87" s="5"/>
      <c r="F87" s="5"/>
      <c r="G87" s="5"/>
      <c r="I87" s="5"/>
      <c r="J87" s="5"/>
      <c r="K87" s="5"/>
    </row>
    <row r="88" spans="1:11" ht="20.100000000000001" customHeight="1" x14ac:dyDescent="0.25">
      <c r="A88" s="10" cm="1">
        <f t="array" ref="A88">CONVERT2EUR(Transactions01[[#This Row],[Projected Currency]], Transactions01[[#This Row],[Projected Amount]])</f>
        <v>0</v>
      </c>
      <c r="B88" s="10" cm="1">
        <f t="array" ref="B88">CONVERT2EUR(Transactions01[[#This Row],[Actual Currency]], Transactions01[[#This Row],[Actual Amount]])</f>
        <v>0</v>
      </c>
      <c r="C88" s="10">
        <f>Transactions01[[#This Row],[Actual Amount (EUR)]] - Transactions01[[#This Row],[Projected Amount (EUR)]]</f>
        <v>0</v>
      </c>
      <c r="D88" s="5"/>
      <c r="E88" s="5"/>
      <c r="F88" s="5"/>
      <c r="G88" s="5"/>
      <c r="I88" s="5"/>
      <c r="J88" s="5"/>
      <c r="K88" s="5"/>
    </row>
    <row r="89" spans="1:11" ht="20.100000000000001" customHeight="1" x14ac:dyDescent="0.25">
      <c r="A89" s="10" cm="1">
        <f t="array" ref="A89">CONVERT2EUR(Transactions01[[#This Row],[Projected Currency]], Transactions01[[#This Row],[Projected Amount]])</f>
        <v>0</v>
      </c>
      <c r="B89" s="10" cm="1">
        <f t="array" ref="B89">CONVERT2EUR(Transactions01[[#This Row],[Actual Currency]], Transactions01[[#This Row],[Actual Amount]])</f>
        <v>0</v>
      </c>
      <c r="C89" s="10">
        <f>Transactions01[[#This Row],[Actual Amount (EUR)]] - Transactions01[[#This Row],[Projected Amount (EUR)]]</f>
        <v>0</v>
      </c>
      <c r="D89" s="5"/>
      <c r="E89" s="5"/>
      <c r="F89" s="5"/>
      <c r="G89" s="5"/>
      <c r="I89" s="5"/>
      <c r="J89" s="5"/>
      <c r="K89" s="5"/>
    </row>
    <row r="90" spans="1:11" ht="20.100000000000001" customHeight="1" x14ac:dyDescent="0.25">
      <c r="A90" s="10" cm="1">
        <f t="array" ref="A90">CONVERT2EUR(Transactions01[[#This Row],[Projected Currency]], Transactions01[[#This Row],[Projected Amount]])</f>
        <v>0</v>
      </c>
      <c r="B90" s="10" cm="1">
        <f t="array" ref="B90">CONVERT2EUR(Transactions01[[#This Row],[Actual Currency]], Transactions01[[#This Row],[Actual Amount]])</f>
        <v>0</v>
      </c>
      <c r="C90" s="10">
        <f>Transactions01[[#This Row],[Actual Amount (EUR)]] - Transactions01[[#This Row],[Projected Amount (EUR)]]</f>
        <v>0</v>
      </c>
      <c r="D90" s="5"/>
      <c r="E90" s="5"/>
      <c r="F90" s="5"/>
      <c r="G90" s="5"/>
      <c r="I90" s="5"/>
      <c r="J90" s="5"/>
      <c r="K90" s="5"/>
    </row>
    <row r="91" spans="1:11" ht="20.100000000000001" customHeight="1" x14ac:dyDescent="0.25">
      <c r="A91" s="10" cm="1">
        <f t="array" ref="A91">CONVERT2EUR(Transactions01[[#This Row],[Projected Currency]], Transactions01[[#This Row],[Projected Amount]])</f>
        <v>0</v>
      </c>
      <c r="B91" s="10" cm="1">
        <f t="array" ref="B91">CONVERT2EUR(Transactions01[[#This Row],[Actual Currency]], Transactions01[[#This Row],[Actual Amount]])</f>
        <v>0</v>
      </c>
      <c r="C91" s="10">
        <f>Transactions01[[#This Row],[Actual Amount (EUR)]] - Transactions01[[#This Row],[Projected Amount (EUR)]]</f>
        <v>0</v>
      </c>
      <c r="D91" s="5"/>
      <c r="E91" s="5"/>
      <c r="F91" s="5"/>
      <c r="G91" s="5"/>
      <c r="I91" s="5"/>
      <c r="J91" s="5"/>
      <c r="K91" s="5"/>
    </row>
    <row r="92" spans="1:11" ht="20.100000000000001" customHeight="1" x14ac:dyDescent="0.25">
      <c r="A92" s="10" cm="1">
        <f t="array" ref="A92">CONVERT2EUR(Transactions01[[#This Row],[Projected Currency]], Transactions01[[#This Row],[Projected Amount]])</f>
        <v>0</v>
      </c>
      <c r="B92" s="10" cm="1">
        <f t="array" ref="B92">CONVERT2EUR(Transactions01[[#This Row],[Actual Currency]], Transactions01[[#This Row],[Actual Amount]])</f>
        <v>0</v>
      </c>
      <c r="C92" s="10">
        <f>Transactions01[[#This Row],[Actual Amount (EUR)]] - Transactions01[[#This Row],[Projected Amount (EUR)]]</f>
        <v>0</v>
      </c>
      <c r="D92" s="5"/>
      <c r="E92" s="5"/>
      <c r="F92" s="5"/>
      <c r="G92" s="5"/>
      <c r="I92" s="5"/>
      <c r="J92" s="5"/>
      <c r="K92" s="5"/>
    </row>
    <row r="93" spans="1:11" ht="20.100000000000001" customHeight="1" x14ac:dyDescent="0.25">
      <c r="A93" s="10" cm="1">
        <f t="array" ref="A93">CONVERT2EUR(Transactions01[[#This Row],[Projected Currency]], Transactions01[[#This Row],[Projected Amount]])</f>
        <v>0</v>
      </c>
      <c r="B93" s="10" cm="1">
        <f t="array" ref="B93">CONVERT2EUR(Transactions01[[#This Row],[Actual Currency]], Transactions01[[#This Row],[Actual Amount]])</f>
        <v>0</v>
      </c>
      <c r="C93" s="10">
        <f>Transactions01[[#This Row],[Actual Amount (EUR)]] - Transactions01[[#This Row],[Projected Amount (EUR)]]</f>
        <v>0</v>
      </c>
      <c r="D93" s="5"/>
      <c r="E93" s="5"/>
      <c r="F93" s="5"/>
      <c r="G93" s="5"/>
      <c r="I93" s="5"/>
      <c r="J93" s="5"/>
      <c r="K93" s="5"/>
    </row>
    <row r="94" spans="1:11" ht="20.100000000000001" customHeight="1" x14ac:dyDescent="0.25">
      <c r="A94" s="10" cm="1">
        <f t="array" ref="A94">CONVERT2EUR(Transactions01[[#This Row],[Projected Currency]], Transactions01[[#This Row],[Projected Amount]])</f>
        <v>0</v>
      </c>
      <c r="B94" s="10" cm="1">
        <f t="array" ref="B94">CONVERT2EUR(Transactions01[[#This Row],[Actual Currency]], Transactions01[[#This Row],[Actual Amount]])</f>
        <v>0</v>
      </c>
      <c r="C94" s="10">
        <f>Transactions01[[#This Row],[Actual Amount (EUR)]] - Transactions01[[#This Row],[Projected Amount (EUR)]]</f>
        <v>0</v>
      </c>
      <c r="D94" s="5"/>
      <c r="E94" s="5"/>
      <c r="F94" s="5"/>
      <c r="G94" s="5"/>
      <c r="I94" s="5"/>
      <c r="J94" s="5"/>
      <c r="K94" s="5"/>
    </row>
    <row r="95" spans="1:11" ht="20.100000000000001" customHeight="1" x14ac:dyDescent="0.25">
      <c r="A95" s="10" cm="1">
        <f t="array" ref="A95">CONVERT2EUR(Transactions01[[#This Row],[Projected Currency]], Transactions01[[#This Row],[Projected Amount]])</f>
        <v>0</v>
      </c>
      <c r="B95" s="10" cm="1">
        <f t="array" ref="B95">CONVERT2EUR(Transactions01[[#This Row],[Actual Currency]], Transactions01[[#This Row],[Actual Amount]])</f>
        <v>0</v>
      </c>
      <c r="C95" s="10">
        <f>Transactions01[[#This Row],[Actual Amount (EUR)]] - Transactions01[[#This Row],[Projected Amount (EUR)]]</f>
        <v>0</v>
      </c>
      <c r="D95" s="5"/>
      <c r="E95" s="5"/>
      <c r="F95" s="5"/>
      <c r="G95" s="5"/>
      <c r="I95" s="5"/>
      <c r="J95" s="5"/>
      <c r="K95" s="5"/>
    </row>
    <row r="96" spans="1:11" ht="20.100000000000001" customHeight="1" x14ac:dyDescent="0.25">
      <c r="A96" s="10" cm="1">
        <f t="array" ref="A96">CONVERT2EUR(Transactions01[[#This Row],[Projected Currency]], Transactions01[[#This Row],[Projected Amount]])</f>
        <v>0</v>
      </c>
      <c r="B96" s="10" cm="1">
        <f t="array" ref="B96">CONVERT2EUR(Transactions01[[#This Row],[Actual Currency]], Transactions01[[#This Row],[Actual Amount]])</f>
        <v>0</v>
      </c>
      <c r="C96" s="10">
        <f>Transactions01[[#This Row],[Actual Amount (EUR)]] - Transactions01[[#This Row],[Projected Amount (EUR)]]</f>
        <v>0</v>
      </c>
      <c r="D96" s="5"/>
      <c r="E96" s="5"/>
      <c r="F96" s="5"/>
      <c r="G96" s="5"/>
      <c r="I96" s="5"/>
      <c r="J96" s="5"/>
      <c r="K96" s="5"/>
    </row>
    <row r="97" spans="1:11" ht="20.100000000000001" customHeight="1" x14ac:dyDescent="0.25">
      <c r="A97" s="10" cm="1">
        <f t="array" ref="A97">CONVERT2EUR(Transactions01[[#This Row],[Projected Currency]], Transactions01[[#This Row],[Projected Amount]])</f>
        <v>0</v>
      </c>
      <c r="B97" s="10" cm="1">
        <f t="array" ref="B97">CONVERT2EUR(Transactions01[[#This Row],[Actual Currency]], Transactions01[[#This Row],[Actual Amount]])</f>
        <v>0</v>
      </c>
      <c r="C97" s="10">
        <f>Transactions01[[#This Row],[Actual Amount (EUR)]] - Transactions01[[#This Row],[Projected Amount (EUR)]]</f>
        <v>0</v>
      </c>
      <c r="D97" s="5"/>
      <c r="E97" s="5"/>
      <c r="F97" s="5"/>
      <c r="G97" s="5"/>
      <c r="I97" s="5"/>
      <c r="J97" s="5"/>
      <c r="K97" s="5"/>
    </row>
    <row r="98" spans="1:11" ht="20.100000000000001" customHeight="1" x14ac:dyDescent="0.25">
      <c r="A98" s="10" cm="1">
        <f t="array" ref="A98">CONVERT2EUR(Transactions01[[#This Row],[Projected Currency]], Transactions01[[#This Row],[Projected Amount]])</f>
        <v>0</v>
      </c>
      <c r="B98" s="10" cm="1">
        <f t="array" ref="B98">CONVERT2EUR(Transactions01[[#This Row],[Actual Currency]], Transactions01[[#This Row],[Actual Amount]])</f>
        <v>0</v>
      </c>
      <c r="C98" s="10">
        <f>Transactions01[[#This Row],[Actual Amount (EUR)]] - Transactions01[[#This Row],[Projected Amount (EUR)]]</f>
        <v>0</v>
      </c>
      <c r="D98" s="5"/>
      <c r="E98" s="5"/>
      <c r="F98" s="5"/>
      <c r="G98" s="5"/>
      <c r="I98" s="5"/>
      <c r="J98" s="5"/>
      <c r="K98" s="5"/>
    </row>
    <row r="99" spans="1:11" ht="20.100000000000001" customHeight="1" x14ac:dyDescent="0.25">
      <c r="A99" s="10" cm="1">
        <f t="array" ref="A99">CONVERT2EUR(Transactions01[[#This Row],[Projected Currency]], Transactions01[[#This Row],[Projected Amount]])</f>
        <v>0</v>
      </c>
      <c r="B99" s="10" cm="1">
        <f t="array" ref="B99">CONVERT2EUR(Transactions01[[#This Row],[Actual Currency]], Transactions01[[#This Row],[Actual Amount]])</f>
        <v>0</v>
      </c>
      <c r="C99" s="10">
        <f>Transactions01[[#This Row],[Actual Amount (EUR)]] - Transactions01[[#This Row],[Projected Amount (EUR)]]</f>
        <v>0</v>
      </c>
      <c r="D99" s="5"/>
      <c r="E99" s="5"/>
      <c r="F99" s="5"/>
      <c r="G99" s="5"/>
      <c r="I99" s="5"/>
      <c r="J99" s="5"/>
      <c r="K99" s="5"/>
    </row>
    <row r="100" spans="1:11" ht="20.100000000000001" customHeight="1" x14ac:dyDescent="0.25">
      <c r="A100" s="10" cm="1">
        <f t="array" ref="A100">CONVERT2EUR(Transactions01[[#This Row],[Projected Currency]], Transactions01[[#This Row],[Projected Amount]])</f>
        <v>0</v>
      </c>
      <c r="B100" s="10" cm="1">
        <f t="array" ref="B100">CONVERT2EUR(Transactions01[[#This Row],[Actual Currency]], Transactions01[[#This Row],[Actual Amount]])</f>
        <v>0</v>
      </c>
      <c r="C100" s="10">
        <f>Transactions01[[#This Row],[Actual Amount (EUR)]] - Transactions01[[#This Row],[Projected Amount (EUR)]]</f>
        <v>0</v>
      </c>
      <c r="D100" s="5"/>
      <c r="E100" s="5"/>
      <c r="F100" s="5"/>
      <c r="G100" s="5"/>
      <c r="I100" s="5"/>
      <c r="J100" s="5"/>
      <c r="K100" s="5"/>
    </row>
    <row r="101" spans="1:11" ht="20.100000000000001" customHeight="1" x14ac:dyDescent="0.25">
      <c r="A101" s="10" cm="1">
        <f t="array" ref="A101">CONVERT2EUR(Transactions01[[#This Row],[Projected Currency]], Transactions01[[#This Row],[Projected Amount]])</f>
        <v>0</v>
      </c>
      <c r="B101" s="10" cm="1">
        <f t="array" ref="B101">CONVERT2EUR(Transactions01[[#This Row],[Actual Currency]], Transactions01[[#This Row],[Actual Amount]])</f>
        <v>0</v>
      </c>
      <c r="C101" s="10">
        <f>Transactions01[[#This Row],[Actual Amount (EUR)]] - Transactions01[[#This Row],[Projected Amount (EUR)]]</f>
        <v>0</v>
      </c>
      <c r="D101" s="5"/>
      <c r="E101" s="5"/>
      <c r="F101" s="5"/>
      <c r="G101" s="5"/>
      <c r="I101" s="5"/>
      <c r="J101" s="5"/>
      <c r="K101" s="5"/>
    </row>
    <row r="102" spans="1:11" ht="20.100000000000001" customHeight="1" x14ac:dyDescent="0.25">
      <c r="A102" s="10" cm="1">
        <f t="array" ref="A102">CONVERT2EUR(Transactions01[[#This Row],[Projected Currency]], Transactions01[[#This Row],[Projected Amount]])</f>
        <v>0</v>
      </c>
      <c r="B102" s="10" cm="1">
        <f t="array" ref="B102">CONVERT2EUR(Transactions01[[#This Row],[Actual Currency]], Transactions01[[#This Row],[Actual Amount]])</f>
        <v>0</v>
      </c>
      <c r="C102" s="10">
        <f>Transactions01[[#This Row],[Actual Amount (EUR)]] - Transactions01[[#This Row],[Projected Amount (EUR)]]</f>
        <v>0</v>
      </c>
      <c r="D102" s="5"/>
      <c r="E102" s="5"/>
      <c r="F102" s="5"/>
      <c r="G102" s="5"/>
      <c r="I102" s="5"/>
      <c r="J102" s="5"/>
      <c r="K102" s="5"/>
    </row>
    <row r="103" spans="1:11" ht="20.100000000000001" customHeight="1" x14ac:dyDescent="0.25">
      <c r="A103" s="10" cm="1">
        <f t="array" ref="A103">CONVERT2EUR(Transactions01[[#This Row],[Projected Currency]], Transactions01[[#This Row],[Projected Amount]])</f>
        <v>0</v>
      </c>
      <c r="B103" s="10" cm="1">
        <f t="array" ref="B103">CONVERT2EUR(Transactions01[[#This Row],[Actual Currency]], Transactions01[[#This Row],[Actual Amount]])</f>
        <v>0</v>
      </c>
      <c r="C103" s="10">
        <f>Transactions01[[#This Row],[Actual Amount (EUR)]] - Transactions01[[#This Row],[Projected Amount (EUR)]]</f>
        <v>0</v>
      </c>
      <c r="D103" s="5"/>
      <c r="E103" s="5"/>
      <c r="F103" s="5"/>
      <c r="G103" s="5"/>
      <c r="I103" s="5"/>
      <c r="J103" s="5"/>
      <c r="K103" s="5"/>
    </row>
    <row r="104" spans="1:11" ht="20.100000000000001" customHeight="1" x14ac:dyDescent="0.25">
      <c r="A104" s="10" cm="1">
        <f t="array" ref="A104">CONVERT2EUR(Transactions01[[#This Row],[Projected Currency]], Transactions01[[#This Row],[Projected Amount]])</f>
        <v>0</v>
      </c>
      <c r="B104" s="10" cm="1">
        <f t="array" ref="B104">CONVERT2EUR(Transactions01[[#This Row],[Actual Currency]], Transactions01[[#This Row],[Actual Amount]])</f>
        <v>0</v>
      </c>
      <c r="C104" s="10">
        <f>Transactions01[[#This Row],[Actual Amount (EUR)]] - Transactions01[[#This Row],[Projected Amount (EUR)]]</f>
        <v>0</v>
      </c>
      <c r="D104" s="5"/>
      <c r="E104" s="5"/>
      <c r="F104" s="5"/>
      <c r="G104" s="5"/>
      <c r="I104" s="5"/>
      <c r="J104" s="5"/>
      <c r="K104" s="5"/>
    </row>
    <row r="105" spans="1:11" ht="20.100000000000001" customHeight="1" x14ac:dyDescent="0.25">
      <c r="A105" s="10" cm="1">
        <f t="array" ref="A105">CONVERT2EUR(Transactions01[[#This Row],[Projected Currency]], Transactions01[[#This Row],[Projected Amount]])</f>
        <v>0</v>
      </c>
      <c r="B105" s="10" cm="1">
        <f t="array" ref="B105">CONVERT2EUR(Transactions01[[#This Row],[Actual Currency]], Transactions01[[#This Row],[Actual Amount]])</f>
        <v>0</v>
      </c>
      <c r="C105" s="10">
        <f>Transactions01[[#This Row],[Actual Amount (EUR)]] - Transactions01[[#This Row],[Projected Amount (EUR)]]</f>
        <v>0</v>
      </c>
      <c r="D105" s="5"/>
      <c r="E105" s="5"/>
      <c r="F105" s="5"/>
      <c r="G105" s="5"/>
      <c r="I105" s="5"/>
      <c r="J105" s="5"/>
      <c r="K105" s="5"/>
    </row>
    <row r="106" spans="1:11" ht="20.100000000000001" customHeight="1" x14ac:dyDescent="0.25">
      <c r="A106" s="10" cm="1">
        <f t="array" ref="A106">CONVERT2EUR(Transactions01[[#This Row],[Projected Currency]], Transactions01[[#This Row],[Projected Amount]])</f>
        <v>0</v>
      </c>
      <c r="B106" s="10" cm="1">
        <f t="array" ref="B106">CONVERT2EUR(Transactions01[[#This Row],[Actual Currency]], Transactions01[[#This Row],[Actual Amount]])</f>
        <v>0</v>
      </c>
      <c r="C106" s="10">
        <f>Transactions01[[#This Row],[Actual Amount (EUR)]] - Transactions01[[#This Row],[Projected Amount (EUR)]]</f>
        <v>0</v>
      </c>
      <c r="D106" s="5"/>
      <c r="E106" s="5"/>
      <c r="F106" s="5"/>
      <c r="G106" s="5"/>
      <c r="I106" s="5"/>
      <c r="J106" s="5"/>
      <c r="K106" s="5"/>
    </row>
    <row r="107" spans="1:11" ht="20.100000000000001" customHeight="1" x14ac:dyDescent="0.25">
      <c r="A107" s="10" cm="1">
        <f t="array" ref="A107">CONVERT2EUR(Transactions01[[#This Row],[Projected Currency]], Transactions01[[#This Row],[Projected Amount]])</f>
        <v>0</v>
      </c>
      <c r="B107" s="10" cm="1">
        <f t="array" ref="B107">CONVERT2EUR(Transactions01[[#This Row],[Actual Currency]], Transactions01[[#This Row],[Actual Amount]])</f>
        <v>0</v>
      </c>
      <c r="C107" s="10">
        <f>Transactions01[[#This Row],[Actual Amount (EUR)]] - Transactions01[[#This Row],[Projected Amount (EUR)]]</f>
        <v>0</v>
      </c>
      <c r="D107" s="5"/>
      <c r="E107" s="5"/>
      <c r="F107" s="5"/>
      <c r="G107" s="5"/>
      <c r="I107" s="5"/>
      <c r="J107" s="5"/>
      <c r="K107" s="5"/>
    </row>
    <row r="108" spans="1:11" ht="20.100000000000001" customHeight="1" x14ac:dyDescent="0.25">
      <c r="A108" s="10" cm="1">
        <f t="array" ref="A108">CONVERT2EUR(Transactions01[[#This Row],[Projected Currency]], Transactions01[[#This Row],[Projected Amount]])</f>
        <v>0</v>
      </c>
      <c r="B108" s="10" cm="1">
        <f t="array" ref="B108">CONVERT2EUR(Transactions01[[#This Row],[Actual Currency]], Transactions01[[#This Row],[Actual Amount]])</f>
        <v>0</v>
      </c>
      <c r="C108" s="10">
        <f>Transactions01[[#This Row],[Actual Amount (EUR)]] - Transactions01[[#This Row],[Projected Amount (EUR)]]</f>
        <v>0</v>
      </c>
      <c r="D108" s="5"/>
      <c r="E108" s="5"/>
      <c r="F108" s="5"/>
      <c r="G108" s="5"/>
      <c r="I108" s="5"/>
      <c r="J108" s="5"/>
      <c r="K108" s="5"/>
    </row>
    <row r="109" spans="1:11" ht="20.100000000000001" customHeight="1" x14ac:dyDescent="0.25">
      <c r="A109" s="10" cm="1">
        <f t="array" ref="A109">CONVERT2EUR(Transactions01[[#This Row],[Projected Currency]], Transactions01[[#This Row],[Projected Amount]])</f>
        <v>0</v>
      </c>
      <c r="B109" s="10" cm="1">
        <f t="array" ref="B109">CONVERT2EUR(Transactions01[[#This Row],[Actual Currency]], Transactions01[[#This Row],[Actual Amount]])</f>
        <v>0</v>
      </c>
      <c r="C109" s="10">
        <f>Transactions01[[#This Row],[Actual Amount (EUR)]] - Transactions01[[#This Row],[Projected Amount (EUR)]]</f>
        <v>0</v>
      </c>
      <c r="D109" s="5"/>
      <c r="E109" s="5"/>
      <c r="F109" s="5"/>
      <c r="G109" s="5"/>
      <c r="I109" s="5"/>
      <c r="J109" s="5"/>
      <c r="K109" s="5"/>
    </row>
    <row r="110" spans="1:11" ht="20.100000000000001" customHeight="1" x14ac:dyDescent="0.25">
      <c r="A110" s="10" cm="1">
        <f t="array" ref="A110">CONVERT2EUR(Transactions01[[#This Row],[Projected Currency]], Transactions01[[#This Row],[Projected Amount]])</f>
        <v>0</v>
      </c>
      <c r="B110" s="10" cm="1">
        <f t="array" ref="B110">CONVERT2EUR(Transactions01[[#This Row],[Actual Currency]], Transactions01[[#This Row],[Actual Amount]])</f>
        <v>0</v>
      </c>
      <c r="C110" s="10">
        <f>Transactions01[[#This Row],[Actual Amount (EUR)]] - Transactions01[[#This Row],[Projected Amount (EUR)]]</f>
        <v>0</v>
      </c>
      <c r="D110" s="5"/>
      <c r="E110" s="5"/>
      <c r="F110" s="5"/>
      <c r="G110" s="5"/>
      <c r="I110" s="5"/>
      <c r="J110" s="5"/>
      <c r="K110" s="5"/>
    </row>
    <row r="111" spans="1:11" ht="20.100000000000001" customHeight="1" x14ac:dyDescent="0.25">
      <c r="A111" s="10" cm="1">
        <f t="array" ref="A111">CONVERT2EUR(Transactions01[[#This Row],[Projected Currency]], Transactions01[[#This Row],[Projected Amount]])</f>
        <v>0</v>
      </c>
      <c r="B111" s="10" cm="1">
        <f t="array" ref="B111">CONVERT2EUR(Transactions01[[#This Row],[Actual Currency]], Transactions01[[#This Row],[Actual Amount]])</f>
        <v>0</v>
      </c>
      <c r="C111" s="10">
        <f>Transactions01[[#This Row],[Actual Amount (EUR)]] - Transactions01[[#This Row],[Projected Amount (EUR)]]</f>
        <v>0</v>
      </c>
      <c r="D111" s="5"/>
      <c r="E111" s="5"/>
      <c r="F111" s="5"/>
      <c r="G111" s="5"/>
      <c r="I111" s="5"/>
      <c r="J111" s="5"/>
      <c r="K111" s="5"/>
    </row>
    <row r="112" spans="1:11" ht="20.100000000000001" customHeight="1" x14ac:dyDescent="0.25">
      <c r="A112" s="10" cm="1">
        <f t="array" ref="A112">CONVERT2EUR(Transactions01[[#This Row],[Projected Currency]], Transactions01[[#This Row],[Projected Amount]])</f>
        <v>0</v>
      </c>
      <c r="B112" s="10" cm="1">
        <f t="array" ref="B112">CONVERT2EUR(Transactions01[[#This Row],[Actual Currency]], Transactions01[[#This Row],[Actual Amount]])</f>
        <v>0</v>
      </c>
      <c r="C112" s="10">
        <f>Transactions01[[#This Row],[Actual Amount (EUR)]] - Transactions01[[#This Row],[Projected Amount (EUR)]]</f>
        <v>0</v>
      </c>
      <c r="D112" s="5"/>
      <c r="E112" s="5"/>
      <c r="F112" s="5"/>
      <c r="G112" s="5"/>
      <c r="I112" s="5"/>
      <c r="J112" s="5"/>
      <c r="K112" s="5"/>
    </row>
    <row r="113" spans="1:11" ht="20.100000000000001" customHeight="1" x14ac:dyDescent="0.25">
      <c r="A113" s="10" cm="1">
        <f t="array" ref="A113">CONVERT2EUR(Transactions01[[#This Row],[Projected Currency]], Transactions01[[#This Row],[Projected Amount]])</f>
        <v>0</v>
      </c>
      <c r="B113" s="10" cm="1">
        <f t="array" ref="B113">CONVERT2EUR(Transactions01[[#This Row],[Actual Currency]], Transactions01[[#This Row],[Actual Amount]])</f>
        <v>0</v>
      </c>
      <c r="C113" s="10">
        <f>Transactions01[[#This Row],[Actual Amount (EUR)]] - Transactions01[[#This Row],[Projected Amount (EUR)]]</f>
        <v>0</v>
      </c>
      <c r="D113" s="5"/>
      <c r="E113" s="5"/>
      <c r="F113" s="5"/>
      <c r="G113" s="5"/>
      <c r="I113" s="5"/>
      <c r="J113" s="5"/>
      <c r="K113" s="5"/>
    </row>
    <row r="114" spans="1:11" ht="20.100000000000001" customHeight="1" x14ac:dyDescent="0.25">
      <c r="A114" s="10" cm="1">
        <f t="array" ref="A114">CONVERT2EUR(Transactions01[[#This Row],[Projected Currency]], Transactions01[[#This Row],[Projected Amount]])</f>
        <v>0</v>
      </c>
      <c r="B114" s="10" cm="1">
        <f t="array" ref="B114">CONVERT2EUR(Transactions01[[#This Row],[Actual Currency]], Transactions01[[#This Row],[Actual Amount]])</f>
        <v>0</v>
      </c>
      <c r="C114" s="10">
        <f>Transactions01[[#This Row],[Actual Amount (EUR)]] - Transactions01[[#This Row],[Projected Amount (EUR)]]</f>
        <v>0</v>
      </c>
      <c r="D114" s="5"/>
      <c r="E114" s="5"/>
      <c r="F114" s="5"/>
      <c r="G114" s="5"/>
      <c r="I114" s="5"/>
      <c r="J114" s="5"/>
      <c r="K114" s="5"/>
    </row>
    <row r="115" spans="1:11" ht="20.100000000000001" customHeight="1" x14ac:dyDescent="0.25">
      <c r="A115" s="10" cm="1">
        <f t="array" ref="A115">CONVERT2EUR(Transactions01[[#This Row],[Projected Currency]], Transactions01[[#This Row],[Projected Amount]])</f>
        <v>0</v>
      </c>
      <c r="B115" s="10" cm="1">
        <f t="array" ref="B115">CONVERT2EUR(Transactions01[[#This Row],[Actual Currency]], Transactions01[[#This Row],[Actual Amount]])</f>
        <v>0</v>
      </c>
      <c r="C115" s="10">
        <f>Transactions01[[#This Row],[Actual Amount (EUR)]] - Transactions01[[#This Row],[Projected Amount (EUR)]]</f>
        <v>0</v>
      </c>
      <c r="D115" s="5"/>
      <c r="E115" s="5"/>
      <c r="F115" s="5"/>
      <c r="G115" s="5"/>
      <c r="I115" s="5"/>
      <c r="J115" s="5"/>
      <c r="K115" s="5"/>
    </row>
    <row r="116" spans="1:11" ht="20.100000000000001" customHeight="1" x14ac:dyDescent="0.25">
      <c r="A116" s="10" cm="1">
        <f t="array" ref="A116">CONVERT2EUR(Transactions01[[#This Row],[Projected Currency]], Transactions01[[#This Row],[Projected Amount]])</f>
        <v>0</v>
      </c>
      <c r="B116" s="10" cm="1">
        <f t="array" ref="B116">CONVERT2EUR(Transactions01[[#This Row],[Actual Currency]], Transactions01[[#This Row],[Actual Amount]])</f>
        <v>0</v>
      </c>
      <c r="C116" s="10">
        <f>Transactions01[[#This Row],[Actual Amount (EUR)]] - Transactions01[[#This Row],[Projected Amount (EUR)]]</f>
        <v>0</v>
      </c>
      <c r="D116" s="5"/>
      <c r="E116" s="5"/>
      <c r="F116" s="5"/>
      <c r="G116" s="5"/>
      <c r="I116" s="5"/>
      <c r="J116" s="5"/>
      <c r="K116" s="5"/>
    </row>
    <row r="117" spans="1:11" ht="20.100000000000001" customHeight="1" x14ac:dyDescent="0.25">
      <c r="A117" s="10" cm="1">
        <f t="array" ref="A117">CONVERT2EUR(Transactions01[[#This Row],[Projected Currency]], Transactions01[[#This Row],[Projected Amount]])</f>
        <v>0</v>
      </c>
      <c r="B117" s="10" cm="1">
        <f t="array" ref="B117">CONVERT2EUR(Transactions01[[#This Row],[Actual Currency]], Transactions01[[#This Row],[Actual Amount]])</f>
        <v>0</v>
      </c>
      <c r="C117" s="10">
        <f>Transactions01[[#This Row],[Actual Amount (EUR)]] - Transactions01[[#This Row],[Projected Amount (EUR)]]</f>
        <v>0</v>
      </c>
      <c r="D117" s="5"/>
      <c r="E117" s="5"/>
      <c r="F117" s="5"/>
      <c r="G117" s="5"/>
      <c r="I117" s="5"/>
      <c r="J117" s="5"/>
      <c r="K117" s="5"/>
    </row>
    <row r="118" spans="1:11" ht="20.100000000000001" customHeight="1" x14ac:dyDescent="0.25">
      <c r="A118" s="10" cm="1">
        <f t="array" ref="A118">CONVERT2EUR(Transactions01[[#This Row],[Projected Currency]], Transactions01[[#This Row],[Projected Amount]])</f>
        <v>0</v>
      </c>
      <c r="B118" s="10" cm="1">
        <f t="array" ref="B118">CONVERT2EUR(Transactions01[[#This Row],[Actual Currency]], Transactions01[[#This Row],[Actual Amount]])</f>
        <v>0</v>
      </c>
      <c r="C118" s="10">
        <f>Transactions01[[#This Row],[Actual Amount (EUR)]] - Transactions01[[#This Row],[Projected Amount (EUR)]]</f>
        <v>0</v>
      </c>
      <c r="D118" s="5"/>
      <c r="E118" s="5"/>
      <c r="F118" s="5"/>
      <c r="G118" s="5"/>
      <c r="I118" s="5"/>
      <c r="J118" s="5"/>
      <c r="K118" s="5"/>
    </row>
    <row r="119" spans="1:11" ht="20.100000000000001" customHeight="1" x14ac:dyDescent="0.25">
      <c r="A119" s="10" cm="1">
        <f t="array" ref="A119">CONVERT2EUR(Transactions01[[#This Row],[Projected Currency]], Transactions01[[#This Row],[Projected Amount]])</f>
        <v>0</v>
      </c>
      <c r="B119" s="10" cm="1">
        <f t="array" ref="B119">CONVERT2EUR(Transactions01[[#This Row],[Actual Currency]], Transactions01[[#This Row],[Actual Amount]])</f>
        <v>0</v>
      </c>
      <c r="C119" s="10">
        <f>Transactions01[[#This Row],[Actual Amount (EUR)]] - Transactions01[[#This Row],[Projected Amount (EUR)]]</f>
        <v>0</v>
      </c>
      <c r="D119" s="5"/>
      <c r="E119" s="5"/>
      <c r="F119" s="5"/>
      <c r="G119" s="5"/>
      <c r="I119" s="5"/>
      <c r="J119" s="5"/>
      <c r="K119" s="5"/>
    </row>
    <row r="120" spans="1:11" ht="20.100000000000001" customHeight="1" x14ac:dyDescent="0.25">
      <c r="A120" s="10" cm="1">
        <f t="array" ref="A120">CONVERT2EUR(Transactions01[[#This Row],[Projected Currency]], Transactions01[[#This Row],[Projected Amount]])</f>
        <v>0</v>
      </c>
      <c r="B120" s="10" cm="1">
        <f t="array" ref="B120">CONVERT2EUR(Transactions01[[#This Row],[Actual Currency]], Transactions01[[#This Row],[Actual Amount]])</f>
        <v>0</v>
      </c>
      <c r="C120" s="10">
        <f>Transactions01[[#This Row],[Actual Amount (EUR)]] - Transactions01[[#This Row],[Projected Amount (EUR)]]</f>
        <v>0</v>
      </c>
      <c r="D120" s="5"/>
      <c r="E120" s="5"/>
      <c r="F120" s="5"/>
      <c r="G120" s="5"/>
      <c r="I120" s="5"/>
      <c r="J120" s="5"/>
      <c r="K120" s="5"/>
    </row>
    <row r="121" spans="1:11" ht="20.100000000000001" customHeight="1" x14ac:dyDescent="0.25">
      <c r="A121" s="10" cm="1">
        <f t="array" ref="A121">CONVERT2EUR(Transactions01[[#This Row],[Projected Currency]], Transactions01[[#This Row],[Projected Amount]])</f>
        <v>0</v>
      </c>
      <c r="B121" s="10" cm="1">
        <f t="array" ref="B121">CONVERT2EUR(Transactions01[[#This Row],[Actual Currency]], Transactions01[[#This Row],[Actual Amount]])</f>
        <v>0</v>
      </c>
      <c r="C121" s="10">
        <f>Transactions01[[#This Row],[Actual Amount (EUR)]] - Transactions01[[#This Row],[Projected Amount (EUR)]]</f>
        <v>0</v>
      </c>
      <c r="D121" s="5"/>
      <c r="E121" s="5"/>
      <c r="F121" s="5"/>
      <c r="G121" s="5"/>
      <c r="I121" s="5"/>
      <c r="J121" s="5"/>
      <c r="K121" s="5"/>
    </row>
    <row r="122" spans="1:11" ht="20.100000000000001" customHeight="1" x14ac:dyDescent="0.25">
      <c r="A122" s="10" cm="1">
        <f t="array" ref="A122">CONVERT2EUR(Transactions01[[#This Row],[Projected Currency]], Transactions01[[#This Row],[Projected Amount]])</f>
        <v>0</v>
      </c>
      <c r="B122" s="10" cm="1">
        <f t="array" ref="B122">CONVERT2EUR(Transactions01[[#This Row],[Actual Currency]], Transactions01[[#This Row],[Actual Amount]])</f>
        <v>0</v>
      </c>
      <c r="C122" s="10">
        <f>Transactions01[[#This Row],[Actual Amount (EUR)]] - Transactions01[[#This Row],[Projected Amount (EUR)]]</f>
        <v>0</v>
      </c>
      <c r="D122" s="5"/>
      <c r="E122" s="5"/>
      <c r="F122" s="5"/>
      <c r="G122" s="5"/>
      <c r="I122" s="5"/>
      <c r="J122" s="5"/>
      <c r="K122" s="5"/>
    </row>
    <row r="123" spans="1:11" ht="20.100000000000001" customHeight="1" x14ac:dyDescent="0.25">
      <c r="A123" s="10" cm="1">
        <f t="array" ref="A123">CONVERT2EUR(Transactions01[[#This Row],[Projected Currency]], Transactions01[[#This Row],[Projected Amount]])</f>
        <v>0</v>
      </c>
      <c r="B123" s="10" cm="1">
        <f t="array" ref="B123">CONVERT2EUR(Transactions01[[#This Row],[Actual Currency]], Transactions01[[#This Row],[Actual Amount]])</f>
        <v>0</v>
      </c>
      <c r="C123" s="10">
        <f>Transactions01[[#This Row],[Actual Amount (EUR)]] - Transactions01[[#This Row],[Projected Amount (EUR)]]</f>
        <v>0</v>
      </c>
      <c r="D123" s="5"/>
      <c r="E123" s="5"/>
      <c r="F123" s="5"/>
      <c r="G123" s="5"/>
      <c r="I123" s="5"/>
      <c r="J123" s="5"/>
      <c r="K123" s="5"/>
    </row>
    <row r="124" spans="1:11" ht="20.100000000000001" customHeight="1" x14ac:dyDescent="0.25">
      <c r="A124" s="10" cm="1">
        <f t="array" ref="A124">CONVERT2EUR(Transactions01[[#This Row],[Projected Currency]], Transactions01[[#This Row],[Projected Amount]])</f>
        <v>0</v>
      </c>
      <c r="B124" s="10" cm="1">
        <f t="array" ref="B124">CONVERT2EUR(Transactions01[[#This Row],[Actual Currency]], Transactions01[[#This Row],[Actual Amount]])</f>
        <v>0</v>
      </c>
      <c r="C124" s="10">
        <f>Transactions01[[#This Row],[Actual Amount (EUR)]] - Transactions01[[#This Row],[Projected Amount (EUR)]]</f>
        <v>0</v>
      </c>
      <c r="D124" s="5"/>
      <c r="E124" s="5"/>
      <c r="F124" s="5"/>
      <c r="G124" s="5"/>
      <c r="I124" s="5"/>
      <c r="J124" s="5"/>
      <c r="K124" s="5"/>
    </row>
    <row r="125" spans="1:11" ht="20.100000000000001" customHeight="1" x14ac:dyDescent="0.25">
      <c r="A125" s="10" cm="1">
        <f t="array" ref="A125">CONVERT2EUR(Transactions01[[#This Row],[Projected Currency]], Transactions01[[#This Row],[Projected Amount]])</f>
        <v>0</v>
      </c>
      <c r="B125" s="10" cm="1">
        <f t="array" ref="B125">CONVERT2EUR(Transactions01[[#This Row],[Actual Currency]], Transactions01[[#This Row],[Actual Amount]])</f>
        <v>0</v>
      </c>
      <c r="C125" s="10">
        <f>Transactions01[[#This Row],[Actual Amount (EUR)]] - Transactions01[[#This Row],[Projected Amount (EUR)]]</f>
        <v>0</v>
      </c>
      <c r="D125" s="5"/>
      <c r="E125" s="5"/>
      <c r="F125" s="5"/>
      <c r="G125" s="5"/>
      <c r="I125" s="5"/>
      <c r="J125" s="5"/>
      <c r="K125" s="5"/>
    </row>
    <row r="126" spans="1:11" ht="20.100000000000001" customHeight="1" x14ac:dyDescent="0.25">
      <c r="A126" s="10" cm="1">
        <f t="array" ref="A126">CONVERT2EUR(Transactions01[[#This Row],[Projected Currency]], Transactions01[[#This Row],[Projected Amount]])</f>
        <v>0</v>
      </c>
      <c r="B126" s="10" cm="1">
        <f t="array" ref="B126">CONVERT2EUR(Transactions01[[#This Row],[Actual Currency]], Transactions01[[#This Row],[Actual Amount]])</f>
        <v>0</v>
      </c>
      <c r="C126" s="10">
        <f>Transactions01[[#This Row],[Actual Amount (EUR)]] - Transactions01[[#This Row],[Projected Amount (EUR)]]</f>
        <v>0</v>
      </c>
      <c r="D126" s="5"/>
      <c r="E126" s="5"/>
      <c r="F126" s="5"/>
      <c r="G126" s="5"/>
      <c r="I126" s="5"/>
      <c r="J126" s="5"/>
      <c r="K126" s="5"/>
    </row>
    <row r="127" spans="1:11" ht="20.100000000000001" customHeight="1" x14ac:dyDescent="0.25">
      <c r="A127" s="10" cm="1">
        <f t="array" ref="A127">CONVERT2EUR(Transactions01[[#This Row],[Projected Currency]], Transactions01[[#This Row],[Projected Amount]])</f>
        <v>0</v>
      </c>
      <c r="B127" s="10" cm="1">
        <f t="array" ref="B127">CONVERT2EUR(Transactions01[[#This Row],[Actual Currency]], Transactions01[[#This Row],[Actual Amount]])</f>
        <v>0</v>
      </c>
      <c r="C127" s="10">
        <f>Transactions01[[#This Row],[Actual Amount (EUR)]] - Transactions01[[#This Row],[Projected Amount (EUR)]]</f>
        <v>0</v>
      </c>
      <c r="D127" s="5"/>
      <c r="E127" s="5"/>
      <c r="F127" s="5"/>
      <c r="G127" s="5"/>
      <c r="I127" s="5"/>
      <c r="J127" s="5"/>
      <c r="K127" s="5"/>
    </row>
    <row r="128" spans="1:11" ht="20.100000000000001" customHeight="1" x14ac:dyDescent="0.25">
      <c r="A128" s="10" cm="1">
        <f t="array" ref="A128">CONVERT2EUR(Transactions01[[#This Row],[Projected Currency]], Transactions01[[#This Row],[Projected Amount]])</f>
        <v>0</v>
      </c>
      <c r="B128" s="10" cm="1">
        <f t="array" ref="B128">CONVERT2EUR(Transactions01[[#This Row],[Actual Currency]], Transactions01[[#This Row],[Actual Amount]])</f>
        <v>0</v>
      </c>
      <c r="C128" s="10">
        <f>Transactions01[[#This Row],[Actual Amount (EUR)]] - Transactions01[[#This Row],[Projected Amount (EUR)]]</f>
        <v>0</v>
      </c>
      <c r="D128" s="5"/>
      <c r="E128" s="5"/>
      <c r="F128" s="5"/>
      <c r="G128" s="5"/>
      <c r="I128" s="5"/>
      <c r="J128" s="5"/>
      <c r="K128" s="5"/>
    </row>
    <row r="129" spans="1:11" ht="20.100000000000001" customHeight="1" x14ac:dyDescent="0.25">
      <c r="A129" s="10" cm="1">
        <f t="array" ref="A129">CONVERT2EUR(Transactions01[[#This Row],[Projected Currency]], Transactions01[[#This Row],[Projected Amount]])</f>
        <v>0</v>
      </c>
      <c r="B129" s="10" cm="1">
        <f t="array" ref="B129">CONVERT2EUR(Transactions01[[#This Row],[Actual Currency]], Transactions01[[#This Row],[Actual Amount]])</f>
        <v>0</v>
      </c>
      <c r="C129" s="10">
        <f>Transactions01[[#This Row],[Actual Amount (EUR)]] - Transactions01[[#This Row],[Projected Amount (EUR)]]</f>
        <v>0</v>
      </c>
      <c r="D129" s="5"/>
      <c r="E129" s="5"/>
      <c r="F129" s="5"/>
      <c r="G129" s="5"/>
      <c r="I129" s="5"/>
      <c r="J129" s="5"/>
      <c r="K129" s="5"/>
    </row>
    <row r="130" spans="1:11" ht="20.100000000000001" customHeight="1" x14ac:dyDescent="0.25">
      <c r="A130" s="10" cm="1">
        <f t="array" ref="A130">CONVERT2EUR(Transactions01[[#This Row],[Projected Currency]], Transactions01[[#This Row],[Projected Amount]])</f>
        <v>0</v>
      </c>
      <c r="B130" s="10" cm="1">
        <f t="array" ref="B130">CONVERT2EUR(Transactions01[[#This Row],[Actual Currency]], Transactions01[[#This Row],[Actual Amount]])</f>
        <v>0</v>
      </c>
      <c r="C130" s="10">
        <f>Transactions01[[#This Row],[Actual Amount (EUR)]] - Transactions01[[#This Row],[Projected Amount (EUR)]]</f>
        <v>0</v>
      </c>
      <c r="D130" s="5"/>
      <c r="E130" s="5"/>
      <c r="F130" s="5"/>
      <c r="G130" s="5"/>
      <c r="I130" s="5"/>
      <c r="J130" s="5"/>
      <c r="K130" s="5"/>
    </row>
    <row r="131" spans="1:11" ht="20.100000000000001" customHeight="1" x14ac:dyDescent="0.25">
      <c r="A131" s="10" cm="1">
        <f t="array" ref="A131">CONVERT2EUR(Transactions01[[#This Row],[Projected Currency]], Transactions01[[#This Row],[Projected Amount]])</f>
        <v>0</v>
      </c>
      <c r="B131" s="10" cm="1">
        <f t="array" ref="B131">CONVERT2EUR(Transactions01[[#This Row],[Actual Currency]], Transactions01[[#This Row],[Actual Amount]])</f>
        <v>0</v>
      </c>
      <c r="C131" s="10">
        <f>Transactions01[[#This Row],[Actual Amount (EUR)]] - Transactions01[[#This Row],[Projected Amount (EUR)]]</f>
        <v>0</v>
      </c>
      <c r="D131" s="5"/>
      <c r="E131" s="5"/>
      <c r="F131" s="5"/>
      <c r="G131" s="5"/>
      <c r="I131" s="5"/>
      <c r="J131" s="5"/>
      <c r="K131" s="5"/>
    </row>
    <row r="132" spans="1:11" ht="20.100000000000001" customHeight="1" x14ac:dyDescent="0.25">
      <c r="A132" s="10" cm="1">
        <f t="array" ref="A132">CONVERT2EUR(Transactions01[[#This Row],[Projected Currency]], Transactions01[[#This Row],[Projected Amount]])</f>
        <v>0</v>
      </c>
      <c r="B132" s="10" cm="1">
        <f t="array" ref="B132">CONVERT2EUR(Transactions01[[#This Row],[Actual Currency]], Transactions01[[#This Row],[Actual Amount]])</f>
        <v>0</v>
      </c>
      <c r="C132" s="10">
        <f>Transactions01[[#This Row],[Actual Amount (EUR)]] - Transactions01[[#This Row],[Projected Amount (EUR)]]</f>
        <v>0</v>
      </c>
      <c r="D132" s="5"/>
      <c r="E132" s="5"/>
      <c r="F132" s="5"/>
      <c r="G132" s="5"/>
      <c r="I132" s="5"/>
      <c r="J132" s="5"/>
      <c r="K132" s="5"/>
    </row>
    <row r="133" spans="1:11" ht="20.100000000000001" customHeight="1" x14ac:dyDescent="0.25">
      <c r="A133" s="10" cm="1">
        <f t="array" ref="A133">CONVERT2EUR(Transactions01[[#This Row],[Projected Currency]], Transactions01[[#This Row],[Projected Amount]])</f>
        <v>0</v>
      </c>
      <c r="B133" s="10" cm="1">
        <f t="array" ref="B133">CONVERT2EUR(Transactions01[[#This Row],[Actual Currency]], Transactions01[[#This Row],[Actual Amount]])</f>
        <v>0</v>
      </c>
      <c r="C133" s="10">
        <f>Transactions01[[#This Row],[Actual Amount (EUR)]] - Transactions01[[#This Row],[Projected Amount (EUR)]]</f>
        <v>0</v>
      </c>
      <c r="D133" s="5"/>
      <c r="E133" s="5"/>
      <c r="F133" s="5"/>
      <c r="G133" s="5"/>
      <c r="I133" s="5"/>
      <c r="J133" s="5"/>
      <c r="K133" s="5"/>
    </row>
    <row r="134" spans="1:11" ht="20.100000000000001" customHeight="1" x14ac:dyDescent="0.25">
      <c r="A134" s="10" cm="1">
        <f t="array" ref="A134">CONVERT2EUR(Transactions01[[#This Row],[Projected Currency]], Transactions01[[#This Row],[Projected Amount]])</f>
        <v>0</v>
      </c>
      <c r="B134" s="10" cm="1">
        <f t="array" ref="B134">CONVERT2EUR(Transactions01[[#This Row],[Actual Currency]], Transactions01[[#This Row],[Actual Amount]])</f>
        <v>0</v>
      </c>
      <c r="C134" s="10">
        <f>Transactions01[[#This Row],[Actual Amount (EUR)]] - Transactions01[[#This Row],[Projected Amount (EUR)]]</f>
        <v>0</v>
      </c>
      <c r="D134" s="5"/>
      <c r="E134" s="5"/>
      <c r="F134" s="5"/>
      <c r="G134" s="5"/>
      <c r="I134" s="5"/>
      <c r="J134" s="5"/>
      <c r="K134" s="5"/>
    </row>
    <row r="135" spans="1:11" ht="20.100000000000001" customHeight="1" x14ac:dyDescent="0.25">
      <c r="A135" s="10" cm="1">
        <f t="array" ref="A135">CONVERT2EUR(Transactions01[[#This Row],[Projected Currency]], Transactions01[[#This Row],[Projected Amount]])</f>
        <v>0</v>
      </c>
      <c r="B135" s="10" cm="1">
        <f t="array" ref="B135">CONVERT2EUR(Transactions01[[#This Row],[Actual Currency]], Transactions01[[#This Row],[Actual Amount]])</f>
        <v>0</v>
      </c>
      <c r="C135" s="10">
        <f>Transactions01[[#This Row],[Actual Amount (EUR)]] - Transactions01[[#This Row],[Projected Amount (EUR)]]</f>
        <v>0</v>
      </c>
      <c r="D135" s="5"/>
      <c r="E135" s="5"/>
      <c r="F135" s="5"/>
      <c r="G135" s="5"/>
      <c r="I135" s="5"/>
      <c r="J135" s="5"/>
      <c r="K135" s="5"/>
    </row>
    <row r="136" spans="1:11" ht="20.100000000000001" customHeight="1" x14ac:dyDescent="0.25">
      <c r="A136" s="10" cm="1">
        <f t="array" ref="A136">CONVERT2EUR(Transactions01[[#This Row],[Projected Currency]], Transactions01[[#This Row],[Projected Amount]])</f>
        <v>0</v>
      </c>
      <c r="B136" s="10" cm="1">
        <f t="array" ref="B136">CONVERT2EUR(Transactions01[[#This Row],[Actual Currency]], Transactions01[[#This Row],[Actual Amount]])</f>
        <v>0</v>
      </c>
      <c r="C136" s="10">
        <f>Transactions01[[#This Row],[Actual Amount (EUR)]] - Transactions01[[#This Row],[Projected Amount (EUR)]]</f>
        <v>0</v>
      </c>
      <c r="D136" s="5"/>
      <c r="E136" s="5"/>
      <c r="F136" s="5"/>
      <c r="G136" s="5"/>
      <c r="I136" s="5"/>
      <c r="J136" s="5"/>
      <c r="K136" s="5"/>
    </row>
    <row r="137" spans="1:11" ht="20.100000000000001" customHeight="1" x14ac:dyDescent="0.25">
      <c r="A137" s="10" cm="1">
        <f t="array" ref="A137">CONVERT2EUR(Transactions01[[#This Row],[Projected Currency]], Transactions01[[#This Row],[Projected Amount]])</f>
        <v>0</v>
      </c>
      <c r="B137" s="10" cm="1">
        <f t="array" ref="B137">CONVERT2EUR(Transactions01[[#This Row],[Actual Currency]], Transactions01[[#This Row],[Actual Amount]])</f>
        <v>0</v>
      </c>
      <c r="C137" s="10">
        <f>Transactions01[[#This Row],[Actual Amount (EUR)]] - Transactions01[[#This Row],[Projected Amount (EUR)]]</f>
        <v>0</v>
      </c>
      <c r="D137" s="5"/>
      <c r="E137" s="5"/>
      <c r="F137" s="5"/>
      <c r="G137" s="5"/>
      <c r="I137" s="5"/>
      <c r="J137" s="5"/>
      <c r="K137" s="5"/>
    </row>
    <row r="138" spans="1:11" ht="20.100000000000001" customHeight="1" x14ac:dyDescent="0.25">
      <c r="A138" s="10" cm="1">
        <f t="array" ref="A138">CONVERT2EUR(Transactions01[[#This Row],[Projected Currency]], Transactions01[[#This Row],[Projected Amount]])</f>
        <v>0</v>
      </c>
      <c r="B138" s="10" cm="1">
        <f t="array" ref="B138">CONVERT2EUR(Transactions01[[#This Row],[Actual Currency]], Transactions01[[#This Row],[Actual Amount]])</f>
        <v>0</v>
      </c>
      <c r="C138" s="10">
        <f>Transactions01[[#This Row],[Actual Amount (EUR)]] - Transactions01[[#This Row],[Projected Amount (EUR)]]</f>
        <v>0</v>
      </c>
      <c r="D138" s="5"/>
      <c r="E138" s="5"/>
      <c r="F138" s="5"/>
      <c r="G138" s="5"/>
      <c r="I138" s="5"/>
      <c r="J138" s="5"/>
      <c r="K138" s="5"/>
    </row>
    <row r="139" spans="1:11" ht="20.100000000000001" customHeight="1" x14ac:dyDescent="0.25">
      <c r="A139" s="10" cm="1">
        <f t="array" ref="A139">CONVERT2EUR(Transactions01[[#This Row],[Projected Currency]], Transactions01[[#This Row],[Projected Amount]])</f>
        <v>0</v>
      </c>
      <c r="B139" s="10" cm="1">
        <f t="array" ref="B139">CONVERT2EUR(Transactions01[[#This Row],[Actual Currency]], Transactions01[[#This Row],[Actual Amount]])</f>
        <v>0</v>
      </c>
      <c r="C139" s="10">
        <f>Transactions01[[#This Row],[Actual Amount (EUR)]] - Transactions01[[#This Row],[Projected Amount (EUR)]]</f>
        <v>0</v>
      </c>
      <c r="D139" s="5"/>
      <c r="E139" s="5"/>
      <c r="F139" s="5"/>
      <c r="G139" s="5"/>
      <c r="I139" s="5"/>
      <c r="J139" s="5"/>
      <c r="K139" s="5"/>
    </row>
    <row r="140" spans="1:11" ht="20.100000000000001" customHeight="1" x14ac:dyDescent="0.25">
      <c r="A140" s="10" cm="1">
        <f t="array" ref="A140">CONVERT2EUR(Transactions01[[#This Row],[Projected Currency]], Transactions01[[#This Row],[Projected Amount]])</f>
        <v>0</v>
      </c>
      <c r="B140" s="10" cm="1">
        <f t="array" ref="B140">CONVERT2EUR(Transactions01[[#This Row],[Actual Currency]], Transactions01[[#This Row],[Actual Amount]])</f>
        <v>0</v>
      </c>
      <c r="C140" s="10">
        <f>Transactions01[[#This Row],[Actual Amount (EUR)]] - Transactions01[[#This Row],[Projected Amount (EUR)]]</f>
        <v>0</v>
      </c>
      <c r="D140" s="5"/>
      <c r="E140" s="5"/>
      <c r="F140" s="5"/>
      <c r="G140" s="5"/>
      <c r="I140" s="5"/>
      <c r="J140" s="5"/>
      <c r="K140" s="5"/>
    </row>
    <row r="141" spans="1:11" ht="20.100000000000001" customHeight="1" x14ac:dyDescent="0.25">
      <c r="A141" s="10" cm="1">
        <f t="array" ref="A141">CONVERT2EUR(Transactions01[[#This Row],[Projected Currency]], Transactions01[[#This Row],[Projected Amount]])</f>
        <v>0</v>
      </c>
      <c r="B141" s="10" cm="1">
        <f t="array" ref="B141">CONVERT2EUR(Transactions01[[#This Row],[Actual Currency]], Transactions01[[#This Row],[Actual Amount]])</f>
        <v>0</v>
      </c>
      <c r="C141" s="10">
        <f>Transactions01[[#This Row],[Actual Amount (EUR)]] - Transactions01[[#This Row],[Projected Amount (EUR)]]</f>
        <v>0</v>
      </c>
      <c r="D141" s="5"/>
      <c r="E141" s="5"/>
      <c r="F141" s="5"/>
      <c r="G141" s="5"/>
      <c r="I141" s="5"/>
      <c r="J141" s="5"/>
      <c r="K141" s="5"/>
    </row>
    <row r="142" spans="1:11" ht="20.100000000000001" customHeight="1" x14ac:dyDescent="0.25">
      <c r="A142" s="10" cm="1">
        <f t="array" ref="A142">CONVERT2EUR(Transactions01[[#This Row],[Projected Currency]], Transactions01[[#This Row],[Projected Amount]])</f>
        <v>0</v>
      </c>
      <c r="B142" s="10" cm="1">
        <f t="array" ref="B142">CONVERT2EUR(Transactions01[[#This Row],[Actual Currency]], Transactions01[[#This Row],[Actual Amount]])</f>
        <v>0</v>
      </c>
      <c r="C142" s="10">
        <f>Transactions01[[#This Row],[Actual Amount (EUR)]] - Transactions01[[#This Row],[Projected Amount (EUR)]]</f>
        <v>0</v>
      </c>
      <c r="D142" s="5"/>
      <c r="E142" s="5"/>
      <c r="F142" s="5"/>
      <c r="G142" s="5"/>
      <c r="I142" s="5"/>
      <c r="J142" s="5"/>
      <c r="K142" s="5"/>
    </row>
    <row r="143" spans="1:11" ht="20.100000000000001" customHeight="1" x14ac:dyDescent="0.25">
      <c r="A143" s="10" cm="1">
        <f t="array" ref="A143">CONVERT2EUR(Transactions01[[#This Row],[Projected Currency]], Transactions01[[#This Row],[Projected Amount]])</f>
        <v>0</v>
      </c>
      <c r="B143" s="10" cm="1">
        <f t="array" ref="B143">CONVERT2EUR(Transactions01[[#This Row],[Actual Currency]], Transactions01[[#This Row],[Actual Amount]])</f>
        <v>0</v>
      </c>
      <c r="C143" s="10">
        <f>Transactions01[[#This Row],[Actual Amount (EUR)]] - Transactions01[[#This Row],[Projected Amount (EUR)]]</f>
        <v>0</v>
      </c>
      <c r="D143" s="5"/>
      <c r="E143" s="5"/>
      <c r="F143" s="5"/>
      <c r="G143" s="5"/>
      <c r="I143" s="5"/>
      <c r="J143" s="5"/>
      <c r="K143" s="5"/>
    </row>
    <row r="144" spans="1:11" ht="20.100000000000001" customHeight="1" x14ac:dyDescent="0.25">
      <c r="A144" s="10" cm="1">
        <f t="array" ref="A144">CONVERT2EUR(Transactions01[[#This Row],[Projected Currency]], Transactions01[[#This Row],[Projected Amount]])</f>
        <v>0</v>
      </c>
      <c r="B144" s="10" cm="1">
        <f t="array" ref="B144">CONVERT2EUR(Transactions01[[#This Row],[Actual Currency]], Transactions01[[#This Row],[Actual Amount]])</f>
        <v>0</v>
      </c>
      <c r="C144" s="10">
        <f>Transactions01[[#This Row],[Actual Amount (EUR)]] - Transactions01[[#This Row],[Projected Amount (EUR)]]</f>
        <v>0</v>
      </c>
      <c r="D144" s="5"/>
      <c r="E144" s="5"/>
      <c r="F144" s="5"/>
      <c r="G144" s="5"/>
      <c r="I144" s="5"/>
      <c r="J144" s="5"/>
      <c r="K144" s="5"/>
    </row>
    <row r="145" spans="1:11" ht="20.100000000000001" customHeight="1" x14ac:dyDescent="0.25">
      <c r="A145" s="10" cm="1">
        <f t="array" ref="A145">CONVERT2EUR(Transactions01[[#This Row],[Projected Currency]], Transactions01[[#This Row],[Projected Amount]])</f>
        <v>0</v>
      </c>
      <c r="B145" s="10" cm="1">
        <f t="array" ref="B145">CONVERT2EUR(Transactions01[[#This Row],[Actual Currency]], Transactions01[[#This Row],[Actual Amount]])</f>
        <v>0</v>
      </c>
      <c r="C145" s="10">
        <f>Transactions01[[#This Row],[Actual Amount (EUR)]] - Transactions01[[#This Row],[Projected Amount (EUR)]]</f>
        <v>0</v>
      </c>
      <c r="D145" s="5"/>
      <c r="E145" s="5"/>
      <c r="F145" s="5"/>
      <c r="G145" s="5"/>
      <c r="I145" s="5"/>
      <c r="J145" s="5"/>
      <c r="K145" s="5"/>
    </row>
    <row r="146" spans="1:11" ht="20.100000000000001" customHeight="1" x14ac:dyDescent="0.25">
      <c r="A146" s="10" cm="1">
        <f t="array" ref="A146">CONVERT2EUR(Transactions01[[#This Row],[Projected Currency]], Transactions01[[#This Row],[Projected Amount]])</f>
        <v>0</v>
      </c>
      <c r="B146" s="10" cm="1">
        <f t="array" ref="B146">CONVERT2EUR(Transactions01[[#This Row],[Actual Currency]], Transactions01[[#This Row],[Actual Amount]])</f>
        <v>0</v>
      </c>
      <c r="C146" s="10">
        <f>Transactions01[[#This Row],[Actual Amount (EUR)]] - Transactions01[[#This Row],[Projected Amount (EUR)]]</f>
        <v>0</v>
      </c>
      <c r="D146" s="5"/>
      <c r="E146" s="5"/>
      <c r="F146" s="5"/>
      <c r="G146" s="5"/>
      <c r="I146" s="5"/>
      <c r="J146" s="5"/>
      <c r="K146" s="5"/>
    </row>
    <row r="147" spans="1:11" ht="20.100000000000001" customHeight="1" x14ac:dyDescent="0.25">
      <c r="A147" s="10" cm="1">
        <f t="array" ref="A147">CONVERT2EUR(Transactions01[[#This Row],[Projected Currency]], Transactions01[[#This Row],[Projected Amount]])</f>
        <v>0</v>
      </c>
      <c r="B147" s="10" cm="1">
        <f t="array" ref="B147">CONVERT2EUR(Transactions01[[#This Row],[Actual Currency]], Transactions01[[#This Row],[Actual Amount]])</f>
        <v>0</v>
      </c>
      <c r="C147" s="10">
        <f>Transactions01[[#This Row],[Actual Amount (EUR)]] - Transactions01[[#This Row],[Projected Amount (EUR)]]</f>
        <v>0</v>
      </c>
      <c r="D147" s="5"/>
      <c r="E147" s="5"/>
      <c r="F147" s="5"/>
      <c r="G147" s="5"/>
      <c r="I147" s="5"/>
      <c r="J147" s="5"/>
      <c r="K147" s="5"/>
    </row>
    <row r="148" spans="1:11" ht="20.100000000000001" customHeight="1" x14ac:dyDescent="0.25">
      <c r="A148" s="10" cm="1">
        <f t="array" ref="A148">CONVERT2EUR(Transactions01[[#This Row],[Projected Currency]], Transactions01[[#This Row],[Projected Amount]])</f>
        <v>0</v>
      </c>
      <c r="B148" s="10" cm="1">
        <f t="array" ref="B148">CONVERT2EUR(Transactions01[[#This Row],[Actual Currency]], Transactions01[[#This Row],[Actual Amount]])</f>
        <v>0</v>
      </c>
      <c r="C148" s="10">
        <f>Transactions01[[#This Row],[Actual Amount (EUR)]] - Transactions01[[#This Row],[Projected Amount (EUR)]]</f>
        <v>0</v>
      </c>
      <c r="D148" s="5"/>
      <c r="E148" s="5"/>
      <c r="F148" s="5"/>
      <c r="G148" s="5"/>
      <c r="I148" s="5"/>
      <c r="J148" s="5"/>
      <c r="K148" s="5"/>
    </row>
    <row r="149" spans="1:11" ht="20.100000000000001" customHeight="1" x14ac:dyDescent="0.25">
      <c r="A149" s="10" cm="1">
        <f t="array" ref="A149">CONVERT2EUR(Transactions01[[#This Row],[Projected Currency]], Transactions01[[#This Row],[Projected Amount]])</f>
        <v>0</v>
      </c>
      <c r="B149" s="10" cm="1">
        <f t="array" ref="B149">CONVERT2EUR(Transactions01[[#This Row],[Actual Currency]], Transactions01[[#This Row],[Actual Amount]])</f>
        <v>0</v>
      </c>
      <c r="C149" s="10">
        <f>Transactions01[[#This Row],[Actual Amount (EUR)]] - Transactions01[[#This Row],[Projected Amount (EUR)]]</f>
        <v>0</v>
      </c>
      <c r="D149" s="5"/>
      <c r="E149" s="5"/>
      <c r="F149" s="5"/>
      <c r="G149" s="5"/>
      <c r="I149" s="5"/>
      <c r="J149" s="5"/>
      <c r="K149" s="5"/>
    </row>
    <row r="150" spans="1:11" ht="20.100000000000001" customHeight="1" x14ac:dyDescent="0.25">
      <c r="A150" s="10" cm="1">
        <f t="array" ref="A150">CONVERT2EUR(Transactions01[[#This Row],[Projected Currency]], Transactions01[[#This Row],[Projected Amount]])</f>
        <v>0</v>
      </c>
      <c r="B150" s="10" cm="1">
        <f t="array" ref="B150">CONVERT2EUR(Transactions01[[#This Row],[Actual Currency]], Transactions01[[#This Row],[Actual Amount]])</f>
        <v>0</v>
      </c>
      <c r="C150" s="10">
        <f>Transactions01[[#This Row],[Actual Amount (EUR)]] - Transactions01[[#This Row],[Projected Amount (EUR)]]</f>
        <v>0</v>
      </c>
      <c r="D150" s="5"/>
      <c r="E150" s="5"/>
      <c r="F150" s="5"/>
      <c r="G150" s="5"/>
      <c r="I150" s="5"/>
      <c r="J150" s="5"/>
      <c r="K150" s="5"/>
    </row>
    <row r="151" spans="1:11" ht="20.100000000000001" customHeight="1" x14ac:dyDescent="0.25">
      <c r="A151" s="10" cm="1">
        <f t="array" ref="A151">CONVERT2EUR(Transactions01[[#This Row],[Projected Currency]], Transactions01[[#This Row],[Projected Amount]])</f>
        <v>0</v>
      </c>
      <c r="B151" s="10" cm="1">
        <f t="array" ref="B151">CONVERT2EUR(Transactions01[[#This Row],[Actual Currency]], Transactions01[[#This Row],[Actual Amount]])</f>
        <v>0</v>
      </c>
      <c r="C151" s="10">
        <f>Transactions01[[#This Row],[Actual Amount (EUR)]] - Transactions01[[#This Row],[Projected Amount (EUR)]]</f>
        <v>0</v>
      </c>
      <c r="D151" s="5"/>
      <c r="E151" s="5"/>
      <c r="F151" s="5"/>
      <c r="G151" s="5"/>
      <c r="I151" s="5"/>
      <c r="J151" s="5"/>
      <c r="K151" s="5"/>
    </row>
    <row r="152" spans="1:11" ht="20.100000000000001" customHeight="1" x14ac:dyDescent="0.25">
      <c r="A152" s="10" cm="1">
        <f t="array" ref="A152">CONVERT2EUR(Transactions01[[#This Row],[Projected Currency]], Transactions01[[#This Row],[Projected Amount]])</f>
        <v>0</v>
      </c>
      <c r="B152" s="10" cm="1">
        <f t="array" ref="B152">CONVERT2EUR(Transactions01[[#This Row],[Actual Currency]], Transactions01[[#This Row],[Actual Amount]])</f>
        <v>0</v>
      </c>
      <c r="C152" s="10">
        <f>Transactions01[[#This Row],[Actual Amount (EUR)]] - Transactions01[[#This Row],[Projected Amount (EUR)]]</f>
        <v>0</v>
      </c>
      <c r="D152" s="5"/>
      <c r="E152" s="5"/>
      <c r="F152" s="5"/>
      <c r="G152" s="5"/>
      <c r="I152" s="5"/>
      <c r="J152" s="5"/>
      <c r="K152" s="5"/>
    </row>
    <row r="153" spans="1:11" ht="20.100000000000001" customHeight="1" x14ac:dyDescent="0.25">
      <c r="A153" s="10" cm="1">
        <f t="array" ref="A153">CONVERT2EUR(Transactions01[[#This Row],[Projected Currency]], Transactions01[[#This Row],[Projected Amount]])</f>
        <v>0</v>
      </c>
      <c r="B153" s="10" cm="1">
        <f t="array" ref="B153">CONVERT2EUR(Transactions01[[#This Row],[Actual Currency]], Transactions01[[#This Row],[Actual Amount]])</f>
        <v>0</v>
      </c>
      <c r="C153" s="10">
        <f>Transactions01[[#This Row],[Actual Amount (EUR)]] - Transactions01[[#This Row],[Projected Amount (EUR)]]</f>
        <v>0</v>
      </c>
      <c r="D153" s="5"/>
      <c r="E153" s="5"/>
      <c r="F153" s="5"/>
      <c r="G153" s="5"/>
      <c r="I153" s="5"/>
      <c r="J153" s="5"/>
      <c r="K153" s="5"/>
    </row>
    <row r="154" spans="1:11" ht="20.100000000000001" customHeight="1" x14ac:dyDescent="0.25">
      <c r="A154" s="10" cm="1">
        <f t="array" ref="A154">CONVERT2EUR(Transactions01[[#This Row],[Projected Currency]], Transactions01[[#This Row],[Projected Amount]])</f>
        <v>0</v>
      </c>
      <c r="B154" s="10" cm="1">
        <f t="array" ref="B154">CONVERT2EUR(Transactions01[[#This Row],[Actual Currency]], Transactions01[[#This Row],[Actual Amount]])</f>
        <v>0</v>
      </c>
      <c r="C154" s="10">
        <f>Transactions01[[#This Row],[Actual Amount (EUR)]] - Transactions01[[#This Row],[Projected Amount (EUR)]]</f>
        <v>0</v>
      </c>
      <c r="D154" s="5"/>
      <c r="E154" s="5"/>
      <c r="F154" s="5"/>
      <c r="G154" s="5"/>
      <c r="I154" s="5"/>
      <c r="J154" s="5"/>
      <c r="K154" s="5"/>
    </row>
    <row r="155" spans="1:11" ht="20.100000000000001" customHeight="1" x14ac:dyDescent="0.25">
      <c r="A155" s="10" cm="1">
        <f t="array" ref="A155">CONVERT2EUR(Transactions01[[#This Row],[Projected Currency]], Transactions01[[#This Row],[Projected Amount]])</f>
        <v>0</v>
      </c>
      <c r="B155" s="10" cm="1">
        <f t="array" ref="B155">CONVERT2EUR(Transactions01[[#This Row],[Actual Currency]], Transactions01[[#This Row],[Actual Amount]])</f>
        <v>0</v>
      </c>
      <c r="C155" s="10">
        <f>Transactions01[[#This Row],[Actual Amount (EUR)]] - Transactions01[[#This Row],[Projected Amount (EUR)]]</f>
        <v>0</v>
      </c>
      <c r="D155" s="5"/>
      <c r="E155" s="5"/>
      <c r="F155" s="5"/>
      <c r="G155" s="5"/>
      <c r="I155" s="5"/>
      <c r="J155" s="5"/>
      <c r="K155" s="5"/>
    </row>
    <row r="156" spans="1:11" ht="20.100000000000001" customHeight="1" x14ac:dyDescent="0.25">
      <c r="A156" s="10" cm="1">
        <f t="array" ref="A156">CONVERT2EUR(Transactions01[[#This Row],[Projected Currency]], Transactions01[[#This Row],[Projected Amount]])</f>
        <v>0</v>
      </c>
      <c r="B156" s="10" cm="1">
        <f t="array" ref="B156">CONVERT2EUR(Transactions01[[#This Row],[Actual Currency]], Transactions01[[#This Row],[Actual Amount]])</f>
        <v>0</v>
      </c>
      <c r="C156" s="10">
        <f>Transactions01[[#This Row],[Actual Amount (EUR)]] - Transactions01[[#This Row],[Projected Amount (EUR)]]</f>
        <v>0</v>
      </c>
      <c r="D156" s="5"/>
      <c r="E156" s="5"/>
      <c r="F156" s="5"/>
      <c r="G156" s="5"/>
      <c r="I156" s="5"/>
      <c r="J156" s="5"/>
      <c r="K156" s="5"/>
    </row>
    <row r="157" spans="1:11" ht="20.100000000000001" customHeight="1" x14ac:dyDescent="0.25">
      <c r="A157" s="10" cm="1">
        <f t="array" ref="A157">CONVERT2EUR(Transactions01[[#This Row],[Projected Currency]], Transactions01[[#This Row],[Projected Amount]])</f>
        <v>0</v>
      </c>
      <c r="B157" s="10" cm="1">
        <f t="array" ref="B157">CONVERT2EUR(Transactions01[[#This Row],[Actual Currency]], Transactions01[[#This Row],[Actual Amount]])</f>
        <v>0</v>
      </c>
      <c r="C157" s="10">
        <f>Transactions01[[#This Row],[Actual Amount (EUR)]] - Transactions01[[#This Row],[Projected Amount (EUR)]]</f>
        <v>0</v>
      </c>
      <c r="D157" s="5"/>
      <c r="E157" s="5"/>
      <c r="F157" s="5"/>
      <c r="G157" s="5"/>
      <c r="I157" s="5"/>
      <c r="J157" s="5"/>
      <c r="K157" s="5"/>
    </row>
    <row r="158" spans="1:11" ht="20.100000000000001" customHeight="1" x14ac:dyDescent="0.25">
      <c r="A158" s="10" cm="1">
        <f t="array" ref="A158">CONVERT2EUR(Transactions01[[#This Row],[Projected Currency]], Transactions01[[#This Row],[Projected Amount]])</f>
        <v>0</v>
      </c>
      <c r="B158" s="10" cm="1">
        <f t="array" ref="B158">CONVERT2EUR(Transactions01[[#This Row],[Actual Currency]], Transactions01[[#This Row],[Actual Amount]])</f>
        <v>0</v>
      </c>
      <c r="C158" s="10">
        <f>Transactions01[[#This Row],[Actual Amount (EUR)]] - Transactions01[[#This Row],[Projected Amount (EUR)]]</f>
        <v>0</v>
      </c>
      <c r="D158" s="5"/>
      <c r="E158" s="5"/>
      <c r="F158" s="5"/>
      <c r="G158" s="5"/>
      <c r="I158" s="5"/>
      <c r="J158" s="5"/>
      <c r="K158" s="5"/>
    </row>
    <row r="159" spans="1:11" ht="20.100000000000001" customHeight="1" x14ac:dyDescent="0.25">
      <c r="A159" s="10" cm="1">
        <f t="array" ref="A159">CONVERT2EUR(Transactions01[[#This Row],[Projected Currency]], Transactions01[[#This Row],[Projected Amount]])</f>
        <v>0</v>
      </c>
      <c r="B159" s="10" cm="1">
        <f t="array" ref="B159">CONVERT2EUR(Transactions01[[#This Row],[Actual Currency]], Transactions01[[#This Row],[Actual Amount]])</f>
        <v>0</v>
      </c>
      <c r="C159" s="10">
        <f>Transactions01[[#This Row],[Actual Amount (EUR)]] - Transactions01[[#This Row],[Projected Amount (EUR)]]</f>
        <v>0</v>
      </c>
      <c r="D159" s="5"/>
      <c r="E159" s="5"/>
      <c r="F159" s="5"/>
      <c r="G159" s="5"/>
      <c r="I159" s="5"/>
      <c r="J159" s="5"/>
      <c r="K159" s="5"/>
    </row>
    <row r="160" spans="1:11" ht="20.100000000000001" customHeight="1" x14ac:dyDescent="0.25">
      <c r="A160" s="10" cm="1">
        <f t="array" ref="A160">CONVERT2EUR(Transactions01[[#This Row],[Projected Currency]], Transactions01[[#This Row],[Projected Amount]])</f>
        <v>0</v>
      </c>
      <c r="B160" s="10" cm="1">
        <f t="array" ref="B160">CONVERT2EUR(Transactions01[[#This Row],[Actual Currency]], Transactions01[[#This Row],[Actual Amount]])</f>
        <v>0</v>
      </c>
      <c r="C160" s="10">
        <f>Transactions01[[#This Row],[Actual Amount (EUR)]] - Transactions01[[#This Row],[Projected Amount (EUR)]]</f>
        <v>0</v>
      </c>
      <c r="D160" s="5"/>
      <c r="E160" s="5"/>
      <c r="F160" s="5"/>
      <c r="G160" s="5"/>
      <c r="I160" s="5"/>
      <c r="J160" s="5"/>
      <c r="K160" s="5"/>
    </row>
    <row r="161" spans="1:11" ht="20.100000000000001" customHeight="1" x14ac:dyDescent="0.25">
      <c r="A161" s="10" cm="1">
        <f t="array" ref="A161">CONVERT2EUR(Transactions01[[#This Row],[Projected Currency]], Transactions01[[#This Row],[Projected Amount]])</f>
        <v>0</v>
      </c>
      <c r="B161" s="10" cm="1">
        <f t="array" ref="B161">CONVERT2EUR(Transactions01[[#This Row],[Actual Currency]], Transactions01[[#This Row],[Actual Amount]])</f>
        <v>0</v>
      </c>
      <c r="C161" s="10">
        <f>Transactions01[[#This Row],[Actual Amount (EUR)]] - Transactions01[[#This Row],[Projected Amount (EUR)]]</f>
        <v>0</v>
      </c>
      <c r="D161" s="5"/>
      <c r="E161" s="5"/>
      <c r="F161" s="5"/>
      <c r="G161" s="5"/>
      <c r="I161" s="5"/>
      <c r="J161" s="5"/>
      <c r="K161" s="5"/>
    </row>
    <row r="162" spans="1:11" ht="20.100000000000001" customHeight="1" x14ac:dyDescent="0.25">
      <c r="A162" s="10" cm="1">
        <f t="array" ref="A162">CONVERT2EUR(Transactions01[[#This Row],[Projected Currency]], Transactions01[[#This Row],[Projected Amount]])</f>
        <v>0</v>
      </c>
      <c r="B162" s="10" cm="1">
        <f t="array" ref="B162">CONVERT2EUR(Transactions01[[#This Row],[Actual Currency]], Transactions01[[#This Row],[Actual Amount]])</f>
        <v>0</v>
      </c>
      <c r="C162" s="10">
        <f>Transactions01[[#This Row],[Actual Amount (EUR)]] - Transactions01[[#This Row],[Projected Amount (EUR)]]</f>
        <v>0</v>
      </c>
      <c r="D162" s="5"/>
      <c r="E162" s="5"/>
      <c r="F162" s="5"/>
      <c r="G162" s="5"/>
      <c r="I162" s="5"/>
      <c r="J162" s="5"/>
      <c r="K162" s="5"/>
    </row>
    <row r="163" spans="1:11" ht="20.100000000000001" customHeight="1" x14ac:dyDescent="0.25">
      <c r="A163" s="10" cm="1">
        <f t="array" ref="A163">CONVERT2EUR(Transactions01[[#This Row],[Projected Currency]], Transactions01[[#This Row],[Projected Amount]])</f>
        <v>0</v>
      </c>
      <c r="B163" s="10" cm="1">
        <f t="array" ref="B163">CONVERT2EUR(Transactions01[[#This Row],[Actual Currency]], Transactions01[[#This Row],[Actual Amount]])</f>
        <v>0</v>
      </c>
      <c r="C163" s="10">
        <f>Transactions01[[#This Row],[Actual Amount (EUR)]] - Transactions01[[#This Row],[Projected Amount (EUR)]]</f>
        <v>0</v>
      </c>
      <c r="D163" s="5"/>
      <c r="E163" s="5"/>
      <c r="F163" s="5"/>
      <c r="G163" s="5"/>
      <c r="I163" s="5"/>
      <c r="J163" s="5"/>
      <c r="K163" s="5"/>
    </row>
    <row r="164" spans="1:11" ht="20.100000000000001" customHeight="1" x14ac:dyDescent="0.25">
      <c r="A164" s="10" cm="1">
        <f t="array" ref="A164">CONVERT2EUR(Transactions01[[#This Row],[Projected Currency]], Transactions01[[#This Row],[Projected Amount]])</f>
        <v>0</v>
      </c>
      <c r="B164" s="10" cm="1">
        <f t="array" ref="B164">CONVERT2EUR(Transactions01[[#This Row],[Actual Currency]], Transactions01[[#This Row],[Actual Amount]])</f>
        <v>0</v>
      </c>
      <c r="C164" s="10">
        <f>Transactions01[[#This Row],[Actual Amount (EUR)]] - Transactions01[[#This Row],[Projected Amount (EUR)]]</f>
        <v>0</v>
      </c>
      <c r="D164" s="5"/>
      <c r="E164" s="5"/>
      <c r="F164" s="5"/>
      <c r="G164" s="5"/>
      <c r="I164" s="5"/>
      <c r="J164" s="5"/>
      <c r="K164" s="5"/>
    </row>
    <row r="165" spans="1:11" ht="20.100000000000001" customHeight="1" x14ac:dyDescent="0.25">
      <c r="A165" s="10" cm="1">
        <f t="array" ref="A165">CONVERT2EUR(Transactions01[[#This Row],[Projected Currency]], Transactions01[[#This Row],[Projected Amount]])</f>
        <v>0</v>
      </c>
      <c r="B165" s="10" cm="1">
        <f t="array" ref="B165">CONVERT2EUR(Transactions01[[#This Row],[Actual Currency]], Transactions01[[#This Row],[Actual Amount]])</f>
        <v>0</v>
      </c>
      <c r="C165" s="10">
        <f>Transactions01[[#This Row],[Actual Amount (EUR)]] - Transactions01[[#This Row],[Projected Amount (EUR)]]</f>
        <v>0</v>
      </c>
      <c r="D165" s="5"/>
      <c r="E165" s="5"/>
      <c r="F165" s="5"/>
      <c r="G165" s="5"/>
      <c r="I165" s="5"/>
      <c r="J165" s="5"/>
      <c r="K165" s="5"/>
    </row>
    <row r="166" spans="1:11" ht="20.100000000000001" customHeight="1" x14ac:dyDescent="0.25">
      <c r="A166" s="10" cm="1">
        <f t="array" ref="A166">CONVERT2EUR(Transactions01[[#This Row],[Projected Currency]], Transactions01[[#This Row],[Projected Amount]])</f>
        <v>0</v>
      </c>
      <c r="B166" s="10" cm="1">
        <f t="array" ref="B166">CONVERT2EUR(Transactions01[[#This Row],[Actual Currency]], Transactions01[[#This Row],[Actual Amount]])</f>
        <v>0</v>
      </c>
      <c r="C166" s="10">
        <f>Transactions01[[#This Row],[Actual Amount (EUR)]] - Transactions01[[#This Row],[Projected Amount (EUR)]]</f>
        <v>0</v>
      </c>
      <c r="D166" s="5"/>
      <c r="E166" s="5"/>
      <c r="F166" s="5"/>
      <c r="G166" s="5"/>
      <c r="I166" s="5"/>
      <c r="J166" s="5"/>
      <c r="K166" s="5"/>
    </row>
    <row r="167" spans="1:11" ht="20.100000000000001" customHeight="1" x14ac:dyDescent="0.25">
      <c r="A167" s="10" cm="1">
        <f t="array" ref="A167">CONVERT2EUR(Transactions01[[#This Row],[Projected Currency]], Transactions01[[#This Row],[Projected Amount]])</f>
        <v>0</v>
      </c>
      <c r="B167" s="10" cm="1">
        <f t="array" ref="B167">CONVERT2EUR(Transactions01[[#This Row],[Actual Currency]], Transactions01[[#This Row],[Actual Amount]])</f>
        <v>0</v>
      </c>
      <c r="C167" s="10">
        <f>Transactions01[[#This Row],[Actual Amount (EUR)]] - Transactions01[[#This Row],[Projected Amount (EUR)]]</f>
        <v>0</v>
      </c>
      <c r="D167" s="5"/>
      <c r="E167" s="5"/>
      <c r="F167" s="5"/>
      <c r="G167" s="5"/>
      <c r="I167" s="5"/>
      <c r="J167" s="5"/>
      <c r="K167" s="5"/>
    </row>
    <row r="168" spans="1:11" ht="20.100000000000001" customHeight="1" x14ac:dyDescent="0.25">
      <c r="A168" s="10" cm="1">
        <f t="array" ref="A168">CONVERT2EUR(Transactions01[[#This Row],[Projected Currency]], Transactions01[[#This Row],[Projected Amount]])</f>
        <v>0</v>
      </c>
      <c r="B168" s="10" cm="1">
        <f t="array" ref="B168">CONVERT2EUR(Transactions01[[#This Row],[Actual Currency]], Transactions01[[#This Row],[Actual Amount]])</f>
        <v>0</v>
      </c>
      <c r="C168" s="10">
        <f>Transactions01[[#This Row],[Actual Amount (EUR)]] - Transactions01[[#This Row],[Projected Amount (EUR)]]</f>
        <v>0</v>
      </c>
      <c r="D168" s="5"/>
      <c r="E168" s="5"/>
      <c r="F168" s="5"/>
      <c r="G168" s="5"/>
      <c r="I168" s="5"/>
      <c r="J168" s="5"/>
      <c r="K168" s="5"/>
    </row>
    <row r="169" spans="1:11" ht="20.100000000000001" customHeight="1" x14ac:dyDescent="0.25">
      <c r="A169" s="10" cm="1">
        <f t="array" ref="A169">CONVERT2EUR(Transactions01[[#This Row],[Projected Currency]], Transactions01[[#This Row],[Projected Amount]])</f>
        <v>0</v>
      </c>
      <c r="B169" s="10" cm="1">
        <f t="array" ref="B169">CONVERT2EUR(Transactions01[[#This Row],[Actual Currency]], Transactions01[[#This Row],[Actual Amount]])</f>
        <v>0</v>
      </c>
      <c r="C169" s="10">
        <f>Transactions01[[#This Row],[Actual Amount (EUR)]] - Transactions01[[#This Row],[Projected Amount (EUR)]]</f>
        <v>0</v>
      </c>
      <c r="D169" s="5"/>
      <c r="E169" s="5"/>
      <c r="F169" s="5"/>
      <c r="G169" s="5"/>
      <c r="I169" s="5"/>
      <c r="J169" s="5"/>
      <c r="K169" s="5"/>
    </row>
    <row r="170" spans="1:11" ht="20.100000000000001" customHeight="1" x14ac:dyDescent="0.25">
      <c r="A170" s="10" cm="1">
        <f t="array" ref="A170">CONVERT2EUR(Transactions01[[#This Row],[Projected Currency]], Transactions01[[#This Row],[Projected Amount]])</f>
        <v>0</v>
      </c>
      <c r="B170" s="10" cm="1">
        <f t="array" ref="B170">CONVERT2EUR(Transactions01[[#This Row],[Actual Currency]], Transactions01[[#This Row],[Actual Amount]])</f>
        <v>0</v>
      </c>
      <c r="C170" s="10">
        <f>Transactions01[[#This Row],[Actual Amount (EUR)]] - Transactions01[[#This Row],[Projected Amount (EUR)]]</f>
        <v>0</v>
      </c>
      <c r="D170" s="5"/>
      <c r="E170" s="5"/>
      <c r="F170" s="5"/>
      <c r="G170" s="5"/>
      <c r="I170" s="5"/>
      <c r="J170" s="5"/>
      <c r="K170" s="5"/>
    </row>
    <row r="171" spans="1:11" ht="20.100000000000001" customHeight="1" x14ac:dyDescent="0.25">
      <c r="A171" s="10" cm="1">
        <f t="array" ref="A171">CONVERT2EUR(Transactions01[[#This Row],[Projected Currency]], Transactions01[[#This Row],[Projected Amount]])</f>
        <v>0</v>
      </c>
      <c r="B171" s="10" cm="1">
        <f t="array" ref="B171">CONVERT2EUR(Transactions01[[#This Row],[Actual Currency]], Transactions01[[#This Row],[Actual Amount]])</f>
        <v>0</v>
      </c>
      <c r="C171" s="10">
        <f>Transactions01[[#This Row],[Actual Amount (EUR)]] - Transactions01[[#This Row],[Projected Amount (EUR)]]</f>
        <v>0</v>
      </c>
      <c r="D171" s="5"/>
      <c r="E171" s="5"/>
      <c r="F171" s="5"/>
      <c r="G171" s="5"/>
      <c r="I171" s="5"/>
      <c r="J171" s="5"/>
      <c r="K171" s="5"/>
    </row>
    <row r="172" spans="1:11" ht="20.100000000000001" customHeight="1" x14ac:dyDescent="0.25">
      <c r="A172" s="10" cm="1">
        <f t="array" ref="A172">CONVERT2EUR(Transactions01[[#This Row],[Projected Currency]], Transactions01[[#This Row],[Projected Amount]])</f>
        <v>0</v>
      </c>
      <c r="B172" s="10" cm="1">
        <f t="array" ref="B172">CONVERT2EUR(Transactions01[[#This Row],[Actual Currency]], Transactions01[[#This Row],[Actual Amount]])</f>
        <v>0</v>
      </c>
      <c r="C172" s="10">
        <f>Transactions01[[#This Row],[Actual Amount (EUR)]] - Transactions01[[#This Row],[Projected Amount (EUR)]]</f>
        <v>0</v>
      </c>
      <c r="D172" s="5"/>
      <c r="E172" s="5"/>
      <c r="F172" s="5"/>
      <c r="G172" s="5"/>
      <c r="I172" s="5"/>
      <c r="J172" s="5"/>
      <c r="K172" s="5"/>
    </row>
    <row r="173" spans="1:11" ht="20.100000000000001" customHeight="1" x14ac:dyDescent="0.25">
      <c r="A173" s="10" cm="1">
        <f t="array" ref="A173">CONVERT2EUR(Transactions01[[#This Row],[Projected Currency]], Transactions01[[#This Row],[Projected Amount]])</f>
        <v>0</v>
      </c>
      <c r="B173" s="10" cm="1">
        <f t="array" ref="B173">CONVERT2EUR(Transactions01[[#This Row],[Actual Currency]], Transactions01[[#This Row],[Actual Amount]])</f>
        <v>0</v>
      </c>
      <c r="C173" s="10">
        <f>Transactions01[[#This Row],[Actual Amount (EUR)]] - Transactions01[[#This Row],[Projected Amount (EUR)]]</f>
        <v>0</v>
      </c>
      <c r="D173" s="5"/>
      <c r="E173" s="5"/>
      <c r="F173" s="5"/>
      <c r="G173" s="5"/>
      <c r="I173" s="5"/>
      <c r="J173" s="5"/>
      <c r="K173" s="5"/>
    </row>
    <row r="174" spans="1:11" ht="20.100000000000001" customHeight="1" x14ac:dyDescent="0.25">
      <c r="A174" s="10" cm="1">
        <f t="array" ref="A174">CONVERT2EUR(Transactions01[[#This Row],[Projected Currency]], Transactions01[[#This Row],[Projected Amount]])</f>
        <v>0</v>
      </c>
      <c r="B174" s="10" cm="1">
        <f t="array" ref="B174">CONVERT2EUR(Transactions01[[#This Row],[Actual Currency]], Transactions01[[#This Row],[Actual Amount]])</f>
        <v>0</v>
      </c>
      <c r="C174" s="10">
        <f>Transactions01[[#This Row],[Actual Amount (EUR)]] - Transactions01[[#This Row],[Projected Amount (EUR)]]</f>
        <v>0</v>
      </c>
      <c r="D174" s="5"/>
      <c r="E174" s="5"/>
      <c r="F174" s="5"/>
      <c r="G174" s="5"/>
      <c r="I174" s="5"/>
      <c r="J174" s="5"/>
      <c r="K174" s="5"/>
    </row>
    <row r="175" spans="1:11" ht="20.100000000000001" customHeight="1" x14ac:dyDescent="0.25">
      <c r="A175" s="10" cm="1">
        <f t="array" ref="A175">CONVERT2EUR(Transactions01[[#This Row],[Projected Currency]], Transactions01[[#This Row],[Projected Amount]])</f>
        <v>0</v>
      </c>
      <c r="B175" s="10" cm="1">
        <f t="array" ref="B175">CONVERT2EUR(Transactions01[[#This Row],[Actual Currency]], Transactions01[[#This Row],[Actual Amount]])</f>
        <v>0</v>
      </c>
      <c r="C175" s="10">
        <f>Transactions01[[#This Row],[Actual Amount (EUR)]] - Transactions01[[#This Row],[Projected Amount (EUR)]]</f>
        <v>0</v>
      </c>
      <c r="D175" s="5"/>
      <c r="E175" s="5"/>
      <c r="F175" s="5"/>
      <c r="G175" s="5"/>
      <c r="I175" s="5"/>
      <c r="J175" s="5"/>
      <c r="K175" s="5"/>
    </row>
    <row r="176" spans="1:11" ht="20.100000000000001" customHeight="1" x14ac:dyDescent="0.25">
      <c r="A176" s="10" cm="1">
        <f t="array" ref="A176">CONVERT2EUR(Transactions01[[#This Row],[Projected Currency]], Transactions01[[#This Row],[Projected Amount]])</f>
        <v>0</v>
      </c>
      <c r="B176" s="10" cm="1">
        <f t="array" ref="B176">CONVERT2EUR(Transactions01[[#This Row],[Actual Currency]], Transactions01[[#This Row],[Actual Amount]])</f>
        <v>0</v>
      </c>
      <c r="C176" s="10">
        <f>Transactions01[[#This Row],[Actual Amount (EUR)]] - Transactions01[[#This Row],[Projected Amount (EUR)]]</f>
        <v>0</v>
      </c>
      <c r="D176" s="5"/>
      <c r="E176" s="5"/>
      <c r="F176" s="5"/>
      <c r="G176" s="5"/>
      <c r="I176" s="5"/>
      <c r="J176" s="5"/>
      <c r="K176" s="5"/>
    </row>
    <row r="177" spans="1:11" ht="20.100000000000001" customHeight="1" x14ac:dyDescent="0.25">
      <c r="A177" s="10" cm="1">
        <f t="array" ref="A177">CONVERT2EUR(Transactions01[[#This Row],[Projected Currency]], Transactions01[[#This Row],[Projected Amount]])</f>
        <v>0</v>
      </c>
      <c r="B177" s="10" cm="1">
        <f t="array" ref="B177">CONVERT2EUR(Transactions01[[#This Row],[Actual Currency]], Transactions01[[#This Row],[Actual Amount]])</f>
        <v>0</v>
      </c>
      <c r="C177" s="10">
        <f>Transactions01[[#This Row],[Actual Amount (EUR)]] - Transactions01[[#This Row],[Projected Amount (EUR)]]</f>
        <v>0</v>
      </c>
      <c r="D177" s="5"/>
      <c r="E177" s="5"/>
      <c r="F177" s="5"/>
      <c r="G177" s="5"/>
      <c r="I177" s="5"/>
      <c r="J177" s="5"/>
      <c r="K177" s="5"/>
    </row>
    <row r="178" spans="1:11" ht="20.100000000000001" customHeight="1" x14ac:dyDescent="0.25">
      <c r="A178" s="10" cm="1">
        <f t="array" ref="A178">CONVERT2EUR(Transactions01[[#This Row],[Projected Currency]], Transactions01[[#This Row],[Projected Amount]])</f>
        <v>0</v>
      </c>
      <c r="B178" s="10" cm="1">
        <f t="array" ref="B178">CONVERT2EUR(Transactions01[[#This Row],[Actual Currency]], Transactions01[[#This Row],[Actual Amount]])</f>
        <v>0</v>
      </c>
      <c r="C178" s="10">
        <f>Transactions01[[#This Row],[Actual Amount (EUR)]] - Transactions01[[#This Row],[Projected Amount (EUR)]]</f>
        <v>0</v>
      </c>
      <c r="D178" s="5"/>
      <c r="E178" s="5"/>
      <c r="F178" s="5"/>
      <c r="G178" s="5"/>
      <c r="I178" s="5"/>
      <c r="J178" s="5"/>
      <c r="K178" s="5"/>
    </row>
    <row r="179" spans="1:11" ht="20.100000000000001" customHeight="1" x14ac:dyDescent="0.25">
      <c r="A179" s="10" cm="1">
        <f t="array" ref="A179">CONVERT2EUR(Transactions01[[#This Row],[Projected Currency]], Transactions01[[#This Row],[Projected Amount]])</f>
        <v>0</v>
      </c>
      <c r="B179" s="10" cm="1">
        <f t="array" ref="B179">CONVERT2EUR(Transactions01[[#This Row],[Actual Currency]], Transactions01[[#This Row],[Actual Amount]])</f>
        <v>0</v>
      </c>
      <c r="C179" s="10">
        <f>Transactions01[[#This Row],[Actual Amount (EUR)]] - Transactions01[[#This Row],[Projected Amount (EUR)]]</f>
        <v>0</v>
      </c>
      <c r="D179" s="5"/>
      <c r="E179" s="5"/>
      <c r="F179" s="5"/>
      <c r="G179" s="5"/>
      <c r="I179" s="5"/>
      <c r="J179" s="5"/>
      <c r="K179" s="5"/>
    </row>
    <row r="180" spans="1:11" ht="20.100000000000001" customHeight="1" x14ac:dyDescent="0.25">
      <c r="A180" s="10" cm="1">
        <f t="array" ref="A180">CONVERT2EUR(Transactions01[[#This Row],[Projected Currency]], Transactions01[[#This Row],[Projected Amount]])</f>
        <v>0</v>
      </c>
      <c r="B180" s="10" cm="1">
        <f t="array" ref="B180">CONVERT2EUR(Transactions01[[#This Row],[Actual Currency]], Transactions01[[#This Row],[Actual Amount]])</f>
        <v>0</v>
      </c>
      <c r="C180" s="10">
        <f>Transactions01[[#This Row],[Actual Amount (EUR)]] - Transactions01[[#This Row],[Projected Amount (EUR)]]</f>
        <v>0</v>
      </c>
      <c r="D180" s="5"/>
      <c r="E180" s="5"/>
      <c r="F180" s="5"/>
      <c r="G180" s="5"/>
      <c r="I180" s="5"/>
      <c r="J180" s="5"/>
      <c r="K180" s="5"/>
    </row>
    <row r="181" spans="1:11" ht="20.100000000000001" customHeight="1" x14ac:dyDescent="0.25">
      <c r="A181" s="10" cm="1">
        <f t="array" ref="A181">CONVERT2EUR(Transactions01[[#This Row],[Projected Currency]], Transactions01[[#This Row],[Projected Amount]])</f>
        <v>0</v>
      </c>
      <c r="B181" s="10" cm="1">
        <f t="array" ref="B181">CONVERT2EUR(Transactions01[[#This Row],[Actual Currency]], Transactions01[[#This Row],[Actual Amount]])</f>
        <v>0</v>
      </c>
      <c r="C181" s="10">
        <f>Transactions01[[#This Row],[Actual Amount (EUR)]] - Transactions01[[#This Row],[Projected Amount (EUR)]]</f>
        <v>0</v>
      </c>
      <c r="D181" s="5"/>
      <c r="E181" s="5"/>
      <c r="F181" s="5"/>
      <c r="G181" s="5"/>
      <c r="I181" s="5"/>
      <c r="J181" s="5"/>
      <c r="K181" s="5"/>
    </row>
    <row r="182" spans="1:11" ht="20.100000000000001" customHeight="1" x14ac:dyDescent="0.25">
      <c r="A182" s="10" cm="1">
        <f t="array" ref="A182">CONVERT2EUR(Transactions01[[#This Row],[Projected Currency]], Transactions01[[#This Row],[Projected Amount]])</f>
        <v>0</v>
      </c>
      <c r="B182" s="10" cm="1">
        <f t="array" ref="B182">CONVERT2EUR(Transactions01[[#This Row],[Actual Currency]], Transactions01[[#This Row],[Actual Amount]])</f>
        <v>0</v>
      </c>
      <c r="C182" s="10">
        <f>Transactions01[[#This Row],[Actual Amount (EUR)]] - Transactions01[[#This Row],[Projected Amount (EUR)]]</f>
        <v>0</v>
      </c>
      <c r="D182" s="5"/>
      <c r="E182" s="5"/>
      <c r="F182" s="5"/>
      <c r="G182" s="5"/>
      <c r="I182" s="5"/>
      <c r="J182" s="5"/>
      <c r="K182" s="5"/>
    </row>
    <row r="183" spans="1:11" ht="20.100000000000001" customHeight="1" x14ac:dyDescent="0.25">
      <c r="A183" s="10" cm="1">
        <f t="array" ref="A183">CONVERT2EUR(Transactions01[[#This Row],[Projected Currency]], Transactions01[[#This Row],[Projected Amount]])</f>
        <v>0</v>
      </c>
      <c r="B183" s="10" cm="1">
        <f t="array" ref="B183">CONVERT2EUR(Transactions01[[#This Row],[Actual Currency]], Transactions01[[#This Row],[Actual Amount]])</f>
        <v>0</v>
      </c>
      <c r="C183" s="10">
        <f>Transactions01[[#This Row],[Actual Amount (EUR)]] - Transactions01[[#This Row],[Projected Amount (EUR)]]</f>
        <v>0</v>
      </c>
      <c r="D183" s="5"/>
      <c r="E183" s="5"/>
      <c r="F183" s="5"/>
      <c r="G183" s="5"/>
      <c r="I183" s="5"/>
      <c r="J183" s="5"/>
      <c r="K183" s="5"/>
    </row>
    <row r="184" spans="1:11" ht="20.100000000000001" customHeight="1" x14ac:dyDescent="0.25">
      <c r="A184" s="10" cm="1">
        <f t="array" ref="A184">CONVERT2EUR(Transactions01[[#This Row],[Projected Currency]], Transactions01[[#This Row],[Projected Amount]])</f>
        <v>0</v>
      </c>
      <c r="B184" s="10" cm="1">
        <f t="array" ref="B184">CONVERT2EUR(Transactions01[[#This Row],[Actual Currency]], Transactions01[[#This Row],[Actual Amount]])</f>
        <v>0</v>
      </c>
      <c r="C184" s="10">
        <f>Transactions01[[#This Row],[Actual Amount (EUR)]] - Transactions01[[#This Row],[Projected Amount (EUR)]]</f>
        <v>0</v>
      </c>
      <c r="D184" s="5"/>
      <c r="E184" s="5"/>
      <c r="F184" s="5"/>
      <c r="G184" s="5"/>
      <c r="I184" s="5"/>
      <c r="J184" s="5"/>
      <c r="K184" s="5"/>
    </row>
    <row r="185" spans="1:11" ht="20.100000000000001" customHeight="1" x14ac:dyDescent="0.25">
      <c r="A185" s="10" cm="1">
        <f t="array" ref="A185">CONVERT2EUR(Transactions01[[#This Row],[Projected Currency]], Transactions01[[#This Row],[Projected Amount]])</f>
        <v>0</v>
      </c>
      <c r="B185" s="10" cm="1">
        <f t="array" ref="B185">CONVERT2EUR(Transactions01[[#This Row],[Actual Currency]], Transactions01[[#This Row],[Actual Amount]])</f>
        <v>0</v>
      </c>
      <c r="C185" s="10">
        <f>Transactions01[[#This Row],[Actual Amount (EUR)]] - Transactions01[[#This Row],[Projected Amount (EUR)]]</f>
        <v>0</v>
      </c>
      <c r="D185" s="5"/>
      <c r="E185" s="5"/>
      <c r="F185" s="5"/>
      <c r="G185" s="5"/>
      <c r="I185" s="5"/>
      <c r="J185" s="5"/>
      <c r="K185" s="5"/>
    </row>
    <row r="186" spans="1:11" ht="20.100000000000001" customHeight="1" x14ac:dyDescent="0.25">
      <c r="A186" s="10" cm="1">
        <f t="array" ref="A186">CONVERT2EUR(Transactions01[[#This Row],[Projected Currency]], Transactions01[[#This Row],[Projected Amount]])</f>
        <v>0</v>
      </c>
      <c r="B186" s="10" cm="1">
        <f t="array" ref="B186">CONVERT2EUR(Transactions01[[#This Row],[Actual Currency]], Transactions01[[#This Row],[Actual Amount]])</f>
        <v>0</v>
      </c>
      <c r="C186" s="10">
        <f>Transactions01[[#This Row],[Actual Amount (EUR)]] - Transactions01[[#This Row],[Projected Amount (EUR)]]</f>
        <v>0</v>
      </c>
      <c r="D186" s="5"/>
      <c r="E186" s="5"/>
      <c r="F186" s="5"/>
      <c r="G186" s="5"/>
      <c r="I186" s="5"/>
      <c r="J186" s="5"/>
      <c r="K186" s="5"/>
    </row>
    <row r="187" spans="1:11" ht="20.100000000000001" customHeight="1" x14ac:dyDescent="0.25">
      <c r="A187" s="10" cm="1">
        <f t="array" ref="A187">CONVERT2EUR(Transactions01[[#This Row],[Projected Currency]], Transactions01[[#This Row],[Projected Amount]])</f>
        <v>0</v>
      </c>
      <c r="B187" s="10" cm="1">
        <f t="array" ref="B187">CONVERT2EUR(Transactions01[[#This Row],[Actual Currency]], Transactions01[[#This Row],[Actual Amount]])</f>
        <v>0</v>
      </c>
      <c r="C187" s="10">
        <f>Transactions01[[#This Row],[Actual Amount (EUR)]] - Transactions01[[#This Row],[Projected Amount (EUR)]]</f>
        <v>0</v>
      </c>
      <c r="D187" s="5"/>
      <c r="E187" s="5"/>
      <c r="F187" s="5"/>
      <c r="G187" s="5"/>
      <c r="I187" s="5"/>
      <c r="J187" s="5"/>
      <c r="K187" s="5"/>
    </row>
    <row r="188" spans="1:11" ht="20.100000000000001" customHeight="1" x14ac:dyDescent="0.25">
      <c r="A188" s="10" cm="1">
        <f t="array" ref="A188">CONVERT2EUR(Transactions01[[#This Row],[Projected Currency]], Transactions01[[#This Row],[Projected Amount]])</f>
        <v>0</v>
      </c>
      <c r="B188" s="10" cm="1">
        <f t="array" ref="B188">CONVERT2EUR(Transactions01[[#This Row],[Actual Currency]], Transactions01[[#This Row],[Actual Amount]])</f>
        <v>0</v>
      </c>
      <c r="C188" s="10">
        <f>Transactions01[[#This Row],[Actual Amount (EUR)]] - Transactions01[[#This Row],[Projected Amount (EUR)]]</f>
        <v>0</v>
      </c>
      <c r="D188" s="5"/>
      <c r="E188" s="5"/>
      <c r="F188" s="5"/>
      <c r="G188" s="5"/>
      <c r="I188" s="5"/>
      <c r="J188" s="5"/>
      <c r="K188" s="5"/>
    </row>
    <row r="189" spans="1:11" ht="20.100000000000001" customHeight="1" x14ac:dyDescent="0.25">
      <c r="A189" s="10" cm="1">
        <f t="array" ref="A189">CONVERT2EUR(Transactions01[[#This Row],[Projected Currency]], Transactions01[[#This Row],[Projected Amount]])</f>
        <v>0</v>
      </c>
      <c r="B189" s="10" cm="1">
        <f t="array" ref="B189">CONVERT2EUR(Transactions01[[#This Row],[Actual Currency]], Transactions01[[#This Row],[Actual Amount]])</f>
        <v>0</v>
      </c>
      <c r="C189" s="10">
        <f>Transactions01[[#This Row],[Actual Amount (EUR)]] - Transactions01[[#This Row],[Projected Amount (EUR)]]</f>
        <v>0</v>
      </c>
      <c r="D189" s="5"/>
      <c r="E189" s="5"/>
      <c r="F189" s="5"/>
      <c r="G189" s="5"/>
      <c r="I189" s="5"/>
      <c r="J189" s="5"/>
      <c r="K189" s="5"/>
    </row>
    <row r="190" spans="1:11" ht="20.100000000000001" customHeight="1" x14ac:dyDescent="0.25">
      <c r="A190" s="10" cm="1">
        <f t="array" ref="A190">CONVERT2EUR(Transactions01[[#This Row],[Projected Currency]], Transactions01[[#This Row],[Projected Amount]])</f>
        <v>0</v>
      </c>
      <c r="B190" s="10" cm="1">
        <f t="array" ref="B190">CONVERT2EUR(Transactions01[[#This Row],[Actual Currency]], Transactions01[[#This Row],[Actual Amount]])</f>
        <v>0</v>
      </c>
      <c r="C190" s="10">
        <f>Transactions01[[#This Row],[Actual Amount (EUR)]] - Transactions01[[#This Row],[Projected Amount (EUR)]]</f>
        <v>0</v>
      </c>
      <c r="D190" s="5"/>
      <c r="E190" s="5"/>
      <c r="F190" s="5"/>
      <c r="G190" s="5"/>
      <c r="I190" s="5"/>
      <c r="J190" s="5"/>
      <c r="K190" s="5"/>
    </row>
    <row r="191" spans="1:11" ht="20.100000000000001" customHeight="1" x14ac:dyDescent="0.25">
      <c r="A191" s="10" cm="1">
        <f t="array" ref="A191">CONVERT2EUR(Transactions01[[#This Row],[Projected Currency]], Transactions01[[#This Row],[Projected Amount]])</f>
        <v>0</v>
      </c>
      <c r="B191" s="10" cm="1">
        <f t="array" ref="B191">CONVERT2EUR(Transactions01[[#This Row],[Actual Currency]], Transactions01[[#This Row],[Actual Amount]])</f>
        <v>0</v>
      </c>
      <c r="C191" s="10">
        <f>Transactions01[[#This Row],[Actual Amount (EUR)]] - Transactions01[[#This Row],[Projected Amount (EUR)]]</f>
        <v>0</v>
      </c>
      <c r="D191" s="5"/>
      <c r="E191" s="5"/>
      <c r="F191" s="5"/>
      <c r="G191" s="5"/>
      <c r="I191" s="5"/>
      <c r="J191" s="5"/>
      <c r="K191" s="5"/>
    </row>
    <row r="192" spans="1:11" ht="20.100000000000001" customHeight="1" x14ac:dyDescent="0.25">
      <c r="A192" s="10" cm="1">
        <f t="array" ref="A192">CONVERT2EUR(Transactions01[[#This Row],[Projected Currency]], Transactions01[[#This Row],[Projected Amount]])</f>
        <v>0</v>
      </c>
      <c r="B192" s="10" cm="1">
        <f t="array" ref="B192">CONVERT2EUR(Transactions01[[#This Row],[Actual Currency]], Transactions01[[#This Row],[Actual Amount]])</f>
        <v>0</v>
      </c>
      <c r="C192" s="10">
        <f>Transactions01[[#This Row],[Actual Amount (EUR)]] - Transactions01[[#This Row],[Projected Amount (EUR)]]</f>
        <v>0</v>
      </c>
      <c r="D192" s="5"/>
      <c r="E192" s="5"/>
      <c r="F192" s="5"/>
      <c r="G192" s="5"/>
      <c r="I192" s="5"/>
      <c r="J192" s="5"/>
      <c r="K192" s="5"/>
    </row>
    <row r="193" spans="1:11" ht="20.100000000000001" customHeight="1" x14ac:dyDescent="0.25">
      <c r="A193" s="10" cm="1">
        <f t="array" ref="A193">CONVERT2EUR(Transactions01[[#This Row],[Projected Currency]], Transactions01[[#This Row],[Projected Amount]])</f>
        <v>0</v>
      </c>
      <c r="B193" s="10" cm="1">
        <f t="array" ref="B193">CONVERT2EUR(Transactions01[[#This Row],[Actual Currency]], Transactions01[[#This Row],[Actual Amount]])</f>
        <v>0</v>
      </c>
      <c r="C193" s="10">
        <f>Transactions01[[#This Row],[Actual Amount (EUR)]] - Transactions01[[#This Row],[Projected Amount (EUR)]]</f>
        <v>0</v>
      </c>
      <c r="D193" s="5"/>
      <c r="E193" s="5"/>
      <c r="F193" s="5"/>
      <c r="G193" s="5"/>
      <c r="I193" s="5"/>
      <c r="J193" s="5"/>
      <c r="K193" s="5"/>
    </row>
    <row r="194" spans="1:11" ht="20.100000000000001" customHeight="1" x14ac:dyDescent="0.25">
      <c r="A194" s="10" cm="1">
        <f t="array" ref="A194">CONVERT2EUR(Transactions01[[#This Row],[Projected Currency]], Transactions01[[#This Row],[Projected Amount]])</f>
        <v>0</v>
      </c>
      <c r="B194" s="10" cm="1">
        <f t="array" ref="B194">CONVERT2EUR(Transactions01[[#This Row],[Actual Currency]], Transactions01[[#This Row],[Actual Amount]])</f>
        <v>0</v>
      </c>
      <c r="C194" s="10">
        <f>Transactions01[[#This Row],[Actual Amount (EUR)]] - Transactions01[[#This Row],[Projected Amount (EUR)]]</f>
        <v>0</v>
      </c>
      <c r="D194" s="5"/>
      <c r="E194" s="5"/>
      <c r="F194" s="5"/>
      <c r="G194" s="5"/>
      <c r="I194" s="5"/>
      <c r="J194" s="5"/>
      <c r="K194" s="5"/>
    </row>
    <row r="195" spans="1:11" ht="20.100000000000001" customHeight="1" x14ac:dyDescent="0.25">
      <c r="A195" s="10" cm="1">
        <f t="array" ref="A195">CONVERT2EUR(Transactions01[[#This Row],[Projected Currency]], Transactions01[[#This Row],[Projected Amount]])</f>
        <v>0</v>
      </c>
      <c r="B195" s="10" cm="1">
        <f t="array" ref="B195">CONVERT2EUR(Transactions01[[#This Row],[Actual Currency]], Transactions01[[#This Row],[Actual Amount]])</f>
        <v>0</v>
      </c>
      <c r="C195" s="10">
        <f>Transactions01[[#This Row],[Actual Amount (EUR)]] - Transactions01[[#This Row],[Projected Amount (EUR)]]</f>
        <v>0</v>
      </c>
      <c r="D195" s="5"/>
      <c r="E195" s="5"/>
      <c r="F195" s="5"/>
      <c r="G195" s="5"/>
      <c r="I195" s="5"/>
      <c r="J195" s="5"/>
      <c r="K195" s="5"/>
    </row>
    <row r="196" spans="1:11" ht="20.100000000000001" customHeight="1" x14ac:dyDescent="0.25">
      <c r="A196" s="10" cm="1">
        <f t="array" ref="A196">CONVERT2EUR(Transactions01[[#This Row],[Projected Currency]], Transactions01[[#This Row],[Projected Amount]])</f>
        <v>0</v>
      </c>
      <c r="B196" s="10" cm="1">
        <f t="array" ref="B196">CONVERT2EUR(Transactions01[[#This Row],[Actual Currency]], Transactions01[[#This Row],[Actual Amount]])</f>
        <v>0</v>
      </c>
      <c r="C196" s="10">
        <f>Transactions01[[#This Row],[Actual Amount (EUR)]] - Transactions01[[#This Row],[Projected Amount (EUR)]]</f>
        <v>0</v>
      </c>
      <c r="D196" s="5"/>
      <c r="E196" s="5"/>
      <c r="F196" s="5"/>
      <c r="G196" s="5"/>
      <c r="I196" s="5"/>
      <c r="J196" s="5"/>
      <c r="K196" s="5"/>
    </row>
    <row r="197" spans="1:11" ht="20.100000000000001" customHeight="1" x14ac:dyDescent="0.25">
      <c r="A197" s="10" cm="1">
        <f t="array" ref="A197">CONVERT2EUR(Transactions01[[#This Row],[Projected Currency]], Transactions01[[#This Row],[Projected Amount]])</f>
        <v>0</v>
      </c>
      <c r="B197" s="10" cm="1">
        <f t="array" ref="B197">CONVERT2EUR(Transactions01[[#This Row],[Actual Currency]], Transactions01[[#This Row],[Actual Amount]])</f>
        <v>0</v>
      </c>
      <c r="C197" s="10">
        <f>Transactions01[[#This Row],[Actual Amount (EUR)]] - Transactions01[[#This Row],[Projected Amount (EUR)]]</f>
        <v>0</v>
      </c>
      <c r="D197" s="5"/>
      <c r="E197" s="5"/>
      <c r="F197" s="5"/>
      <c r="G197" s="5"/>
      <c r="I197" s="5"/>
      <c r="J197" s="5"/>
      <c r="K197" s="5"/>
    </row>
    <row r="198" spans="1:11" ht="20.100000000000001" customHeight="1" x14ac:dyDescent="0.25">
      <c r="A198" s="10" cm="1">
        <f t="array" ref="A198">CONVERT2EUR(Transactions01[[#This Row],[Projected Currency]], Transactions01[[#This Row],[Projected Amount]])</f>
        <v>0</v>
      </c>
      <c r="B198" s="10" cm="1">
        <f t="array" ref="B198">CONVERT2EUR(Transactions01[[#This Row],[Actual Currency]], Transactions01[[#This Row],[Actual Amount]])</f>
        <v>0</v>
      </c>
      <c r="C198" s="10">
        <f>Transactions01[[#This Row],[Actual Amount (EUR)]] - Transactions01[[#This Row],[Projected Amount (EUR)]]</f>
        <v>0</v>
      </c>
      <c r="D198" s="5"/>
      <c r="E198" s="5"/>
      <c r="F198" s="5"/>
      <c r="G198" s="5"/>
      <c r="I198" s="5"/>
      <c r="J198" s="5"/>
      <c r="K198" s="5"/>
    </row>
    <row r="199" spans="1:11" ht="20.100000000000001" customHeight="1" x14ac:dyDescent="0.25">
      <c r="A199" s="10" cm="1">
        <f t="array" ref="A199">CONVERT2EUR(Transactions01[[#This Row],[Projected Currency]], Transactions01[[#This Row],[Projected Amount]])</f>
        <v>0</v>
      </c>
      <c r="B199" s="10" cm="1">
        <f t="array" ref="B199">CONVERT2EUR(Transactions01[[#This Row],[Actual Currency]], Transactions01[[#This Row],[Actual Amount]])</f>
        <v>0</v>
      </c>
      <c r="C199" s="10">
        <f>Transactions01[[#This Row],[Actual Amount (EUR)]] - Transactions01[[#This Row],[Projected Amount (EUR)]]</f>
        <v>0</v>
      </c>
      <c r="D199" s="5"/>
      <c r="E199" s="5"/>
      <c r="F199" s="5"/>
      <c r="G199" s="5"/>
      <c r="I199" s="5"/>
      <c r="J199" s="5"/>
      <c r="K199" s="5"/>
    </row>
    <row r="200" spans="1:11" ht="20.100000000000001" customHeight="1" x14ac:dyDescent="0.25">
      <c r="A200" s="10" cm="1">
        <f t="array" ref="A200">CONVERT2EUR(Transactions01[[#This Row],[Projected Currency]], Transactions01[[#This Row],[Projected Amount]])</f>
        <v>0</v>
      </c>
      <c r="B200" s="10" cm="1">
        <f t="array" ref="B200">CONVERT2EUR(Transactions01[[#This Row],[Actual Currency]], Transactions01[[#This Row],[Actual Amount]])</f>
        <v>0</v>
      </c>
      <c r="C200" s="10">
        <f>Transactions01[[#This Row],[Actual Amount (EUR)]] - Transactions01[[#This Row],[Projected Amount (EUR)]]</f>
        <v>0</v>
      </c>
      <c r="D200" s="5"/>
      <c r="E200" s="5"/>
      <c r="F200" s="5"/>
      <c r="G200" s="5"/>
      <c r="I200" s="5"/>
      <c r="J200" s="5"/>
      <c r="K200" s="5"/>
    </row>
  </sheetData>
  <mergeCells count="5">
    <mergeCell ref="A1:B1"/>
    <mergeCell ref="A10:B10"/>
    <mergeCell ref="A19:B19"/>
    <mergeCell ref="A30:B30"/>
    <mergeCell ref="A42:B42"/>
  </mergeCells>
  <conditionalFormatting sqref="A13:C14">
    <cfRule type="cellIs" dxfId="11" priority="63" operator="lessThan">
      <formula>0</formula>
    </cfRule>
    <cfRule type="cellIs" dxfId="10" priority="69" operator="greaterThanOrEqual">
      <formula>0</formula>
    </cfRule>
  </conditionalFormatting>
  <conditionalFormatting sqref="A16:B16">
    <cfRule type="cellIs" dxfId="9" priority="67" operator="notBetween">
      <formula>-0.01</formula>
      <formula>0.01</formula>
    </cfRule>
  </conditionalFormatting>
  <conditionalFormatting sqref="A22:B27">
    <cfRule type="cellIs" dxfId="8" priority="66" operator="notBetween">
      <formula>-0.01</formula>
      <formula>0.01</formula>
    </cfRule>
  </conditionalFormatting>
  <conditionalFormatting sqref="E7">
    <cfRule type="cellIs" dxfId="7" priority="65" operator="notEqual">
      <formula>1</formula>
    </cfRule>
  </conditionalFormatting>
  <conditionalFormatting sqref="E4:E6 D45:K200">
    <cfRule type="containsBlanks" dxfId="6" priority="64">
      <formula>LEN(TRIM(D4))=0</formula>
    </cfRule>
  </conditionalFormatting>
  <conditionalFormatting sqref="C34:C35">
    <cfRule type="cellIs" dxfId="5" priority="58" operator="greaterThan">
      <formula>0</formula>
    </cfRule>
    <cfRule type="cellIs" dxfId="4" priority="59" operator="lessThanOrEqual">
      <formula>0</formula>
    </cfRule>
  </conditionalFormatting>
  <conditionalFormatting sqref="C33">
    <cfRule type="cellIs" dxfId="3" priority="60" operator="lessThan">
      <formula>0</formula>
    </cfRule>
    <cfRule type="cellIs" dxfId="2" priority="61" operator="greaterThanOrEqual">
      <formula>0</formula>
    </cfRule>
  </conditionalFormatting>
  <conditionalFormatting sqref="A15:C15">
    <cfRule type="cellIs" dxfId="1" priority="62" operator="greaterThan">
      <formula>0</formula>
    </cfRule>
    <cfRule type="cellIs" dxfId="0" priority="68" operator="lessThanOrEqual">
      <formula>0</formula>
    </cfRule>
  </conditionalFormatting>
  <dataValidations count="6">
    <dataValidation type="list" allowBlank="1" showInputMessage="1" showErrorMessage="1" sqref="F40:F41" xr:uid="{B2642746-0999-4D41-ACF7-BCD47CF066ED}">
      <formula1>"Income, Need, Want, Investment, Any"</formula1>
    </dataValidation>
    <dataValidation type="list" allowBlank="1" showInputMessage="1" showErrorMessage="1" sqref="A40:A41" xr:uid="{153CBF09-98C1-6342-BDE7-05776ACBB62E}">
      <formula1>"EUR"</formula1>
    </dataValidation>
    <dataValidation type="list" allowBlank="1" showInputMessage="1" showErrorMessage="1" sqref="D13:D15 D4:D6" xr:uid="{CA35A07B-6ED7-E14B-8205-569A4F6A3CCE}">
      <formula1>"Need, Want, Investment"</formula1>
    </dataValidation>
    <dataValidation type="list" allowBlank="1" showInputMessage="1" showErrorMessage="1" sqref="E40:E41 D45:D200" xr:uid="{6EE8FD78-5C57-7243-819C-59F40DEB05F5}">
      <formula1>"Income, Expense, Saving"</formula1>
    </dataValidation>
    <dataValidation type="list" allowBlank="1" showInputMessage="1" showErrorMessage="1" sqref="E45:E200" xr:uid="{A4EA07DF-8113-BF4C-A9A0-CC098D88FCD8}">
      <formula1>"Need, Want, Investment, Income"</formula1>
    </dataValidation>
    <dataValidation type="list" allowBlank="1" showInputMessage="1" showErrorMessage="1" sqref="H45:H200 J45:J200" xr:uid="{F9D7E354-2823-A943-9BED-C5BF28754CA8}">
      <formula1>$D$22:$D$27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9"/>
  <sheetViews>
    <sheetView zoomScaleNormal="100" workbookViewId="0">
      <selection activeCell="G23" sqref="G23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21</v>
      </c>
      <c r="B1" t="s">
        <v>20</v>
      </c>
      <c r="C1" t="s">
        <v>3</v>
      </c>
      <c r="D1" t="s">
        <v>17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8.77E-2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25091.010399999999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1678.3989999999999</v>
      </c>
    </row>
    <row r="5" spans="1:9" ht="20.100000000000001" customHeight="1" x14ac:dyDescent="0.25"/>
    <row r="6" spans="1:9" ht="20.100000000000001" customHeight="1" x14ac:dyDescent="0.25"/>
    <row r="7" spans="1:9" ht="20.100000000000001" customHeight="1" x14ac:dyDescent="0.25">
      <c r="A7" t="s">
        <v>21</v>
      </c>
      <c r="B7" t="s">
        <v>20</v>
      </c>
      <c r="C7" t="s">
        <v>3</v>
      </c>
      <c r="D7" t="s">
        <v>17</v>
      </c>
    </row>
    <row r="8" spans="1:9" ht="20.100000000000001" customHeight="1" x14ac:dyDescent="0.25">
      <c r="A8" t="s">
        <v>19</v>
      </c>
      <c r="B8" t="s">
        <v>16</v>
      </c>
      <c r="C8" t="s">
        <v>10</v>
      </c>
      <c r="D8">
        <v>1.22</v>
      </c>
    </row>
    <row r="9" spans="1:9" ht="20.100000000000001" customHeight="1" x14ac:dyDescent="0.25"/>
    <row r="10" spans="1:9" ht="20.100000000000001" customHeight="1" x14ac:dyDescent="0.25">
      <c r="I10" s="6"/>
    </row>
    <row r="11" spans="1:9" ht="20.100000000000001" customHeight="1" x14ac:dyDescent="0.25">
      <c r="A11" t="s">
        <v>18</v>
      </c>
      <c r="B11" t="s">
        <v>3</v>
      </c>
      <c r="C11" t="s">
        <v>17</v>
      </c>
    </row>
    <row r="12" spans="1:9" ht="20.100000000000001" customHeight="1" x14ac:dyDescent="0.25">
      <c r="A12" t="e" vm="4">
        <v>#VALUE!</v>
      </c>
      <c r="B12" t="str" cm="1">
        <f t="array" ref="B12">_FV(Shares[[#This Row],[Share]],"Currency")</f>
        <v>SEK</v>
      </c>
      <c r="C12" s="6" cm="1">
        <f t="array" ref="C12">_FV(Shares[[#This Row],[Share]],"Price")</f>
        <v>54.17</v>
      </c>
    </row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</vt:lpstr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2023-05-18T16:33:03Z</dcterms:modified>
</cp:coreProperties>
</file>