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fruggeri\Google Drive\Personal\Wellbeing\Financial wellbeing\"/>
    </mc:Choice>
  </mc:AlternateContent>
  <xr:revisionPtr revIDLastSave="0" documentId="13_ncr:1_{93C19729-0DED-42F7-9BD1-DD04982D8F5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01" sheetId="19" r:id="rId1"/>
    <sheet name="02" sheetId="18" r:id="rId2"/>
    <sheet name="03" sheetId="17" r:id="rId3"/>
    <sheet name="04" sheetId="16" r:id="rId4"/>
    <sheet name="05" sheetId="15" r:id="rId5"/>
    <sheet name="06" sheetId="14" r:id="rId6"/>
    <sheet name="07" sheetId="13" r:id="rId7"/>
    <sheet name="08" sheetId="12" r:id="rId8"/>
    <sheet name="09" sheetId="11" r:id="rId9"/>
    <sheet name="10" sheetId="10" r:id="rId10"/>
    <sheet name="11" sheetId="9" r:id="rId11"/>
    <sheet name="12" sheetId="1" r:id="rId12"/>
    <sheet name="Exchange rates" sheetId="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13" i="1"/>
  <c r="B15" i="10"/>
  <c r="B13" i="10"/>
  <c r="B15" i="11"/>
  <c r="B13" i="11"/>
  <c r="B15" i="12"/>
  <c r="B13" i="12"/>
  <c r="B15" i="13"/>
  <c r="B13" i="13"/>
  <c r="B15" i="14"/>
  <c r="B13" i="14"/>
  <c r="B15" i="15"/>
  <c r="B13" i="15"/>
  <c r="B15" i="16"/>
  <c r="B13" i="16"/>
  <c r="B15" i="17"/>
  <c r="B13" i="17"/>
  <c r="B15" i="18"/>
  <c r="B13" i="18"/>
  <c r="C23" i="19"/>
  <c r="D45" i="19"/>
  <c r="D45" i="9"/>
  <c r="C36" i="19"/>
  <c r="B36" i="19"/>
  <c r="C27" i="19"/>
  <c r="B27" i="19"/>
  <c r="C26" i="19"/>
  <c r="B26" i="19"/>
  <c r="C25" i="19"/>
  <c r="B25" i="19"/>
  <c r="C24" i="19"/>
  <c r="B24" i="19"/>
  <c r="C22" i="19"/>
  <c r="B22" i="19"/>
  <c r="F7" i="19"/>
  <c r="D45" i="18"/>
  <c r="C39" i="18"/>
  <c r="B39" i="18"/>
  <c r="C38" i="18"/>
  <c r="B38" i="18"/>
  <c r="C37" i="18"/>
  <c r="B37" i="18"/>
  <c r="C36" i="18"/>
  <c r="B36" i="18"/>
  <c r="C35" i="18"/>
  <c r="B35" i="18"/>
  <c r="C33" i="18"/>
  <c r="B33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F7" i="18"/>
  <c r="D45" i="17"/>
  <c r="C39" i="17"/>
  <c r="B39" i="17"/>
  <c r="C38" i="17"/>
  <c r="B38" i="17"/>
  <c r="C37" i="17"/>
  <c r="B37" i="17"/>
  <c r="C36" i="17"/>
  <c r="B36" i="17"/>
  <c r="C35" i="17"/>
  <c r="B35" i="17"/>
  <c r="C34" i="17"/>
  <c r="B34" i="17"/>
  <c r="C33" i="17"/>
  <c r="B33" i="17"/>
  <c r="C27" i="17"/>
  <c r="B27" i="17"/>
  <c r="C26" i="17"/>
  <c r="B26" i="17"/>
  <c r="C25" i="17"/>
  <c r="B25" i="17"/>
  <c r="C24" i="17"/>
  <c r="B24" i="17"/>
  <c r="C23" i="17"/>
  <c r="B23" i="17"/>
  <c r="C22" i="17"/>
  <c r="B22" i="17"/>
  <c r="F7" i="17"/>
  <c r="C6" i="17"/>
  <c r="C15" i="17" s="1"/>
  <c r="D15" i="17" s="1"/>
  <c r="B6" i="17"/>
  <c r="C5" i="17"/>
  <c r="C14" i="17" s="1"/>
  <c r="B5" i="17"/>
  <c r="B14" i="17" s="1"/>
  <c r="B16" i="17" s="1"/>
  <c r="C4" i="17"/>
  <c r="C13" i="17" s="1"/>
  <c r="B4" i="17"/>
  <c r="D45" i="16"/>
  <c r="C39" i="16"/>
  <c r="B39" i="16"/>
  <c r="C38" i="16"/>
  <c r="B38" i="16"/>
  <c r="C37" i="16"/>
  <c r="B37" i="16"/>
  <c r="C36" i="16"/>
  <c r="B36" i="16"/>
  <c r="C35" i="16"/>
  <c r="B35" i="16"/>
  <c r="C34" i="16"/>
  <c r="B34" i="16"/>
  <c r="C33" i="16"/>
  <c r="B33" i="16"/>
  <c r="C27" i="16"/>
  <c r="B27" i="16"/>
  <c r="C26" i="16"/>
  <c r="B26" i="16"/>
  <c r="C25" i="16"/>
  <c r="B25" i="16"/>
  <c r="C24" i="16"/>
  <c r="B24" i="16"/>
  <c r="C23" i="16"/>
  <c r="B23" i="16"/>
  <c r="C22" i="16"/>
  <c r="B22" i="16"/>
  <c r="F7" i="16"/>
  <c r="C6" i="16"/>
  <c r="C15" i="16" s="1"/>
  <c r="D15" i="16" s="1"/>
  <c r="B6" i="16"/>
  <c r="C5" i="16"/>
  <c r="C14" i="16" s="1"/>
  <c r="B5" i="16"/>
  <c r="B14" i="16" s="1"/>
  <c r="B16" i="16" s="1"/>
  <c r="C4" i="16"/>
  <c r="C13" i="16" s="1"/>
  <c r="B4" i="16"/>
  <c r="D45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D22" i="15" s="1"/>
  <c r="F7" i="15"/>
  <c r="C6" i="15"/>
  <c r="C15" i="15" s="1"/>
  <c r="D15" i="15" s="1"/>
  <c r="B6" i="15"/>
  <c r="C5" i="15"/>
  <c r="C14" i="15" s="1"/>
  <c r="B5" i="15"/>
  <c r="B14" i="15" s="1"/>
  <c r="B16" i="15" s="1"/>
  <c r="C4" i="15"/>
  <c r="B4" i="15"/>
  <c r="D45" i="14"/>
  <c r="C39" i="14"/>
  <c r="B39" i="14"/>
  <c r="C38" i="14"/>
  <c r="B38" i="14"/>
  <c r="C37" i="14"/>
  <c r="B37" i="14"/>
  <c r="C36" i="14"/>
  <c r="B36" i="14"/>
  <c r="C35" i="14"/>
  <c r="B35" i="14"/>
  <c r="C34" i="14"/>
  <c r="B34" i="14"/>
  <c r="C33" i="14"/>
  <c r="B33" i="14"/>
  <c r="C27" i="14"/>
  <c r="B27" i="14"/>
  <c r="C26" i="14"/>
  <c r="B26" i="14"/>
  <c r="C25" i="14"/>
  <c r="B25" i="14"/>
  <c r="C24" i="14"/>
  <c r="B24" i="14"/>
  <c r="C23" i="14"/>
  <c r="B23" i="14"/>
  <c r="C22" i="14"/>
  <c r="B22" i="14"/>
  <c r="F7" i="14"/>
  <c r="C6" i="14"/>
  <c r="C15" i="14" s="1"/>
  <c r="D15" i="14" s="1"/>
  <c r="B6" i="14"/>
  <c r="C5" i="14"/>
  <c r="C14" i="14" s="1"/>
  <c r="B5" i="14"/>
  <c r="B14" i="14" s="1"/>
  <c r="C4" i="14"/>
  <c r="C13" i="14" s="1"/>
  <c r="B4" i="14"/>
  <c r="D45" i="13"/>
  <c r="C39" i="13"/>
  <c r="B39" i="13"/>
  <c r="C38" i="13"/>
  <c r="B38" i="13"/>
  <c r="C37" i="13"/>
  <c r="B37" i="13"/>
  <c r="C36" i="13"/>
  <c r="B36" i="13"/>
  <c r="C35" i="13"/>
  <c r="B35" i="13"/>
  <c r="C34" i="13"/>
  <c r="B34" i="13"/>
  <c r="C33" i="13"/>
  <c r="B33" i="13"/>
  <c r="C27" i="13"/>
  <c r="B27" i="13"/>
  <c r="C26" i="13"/>
  <c r="B26" i="13"/>
  <c r="C25" i="13"/>
  <c r="B25" i="13"/>
  <c r="C24" i="13"/>
  <c r="B24" i="13"/>
  <c r="D24" i="13" s="1"/>
  <c r="C23" i="13"/>
  <c r="B23" i="13"/>
  <c r="C22" i="13"/>
  <c r="B22" i="13"/>
  <c r="F7" i="13"/>
  <c r="C6" i="13"/>
  <c r="B6" i="13"/>
  <c r="C5" i="13"/>
  <c r="C14" i="13" s="1"/>
  <c r="B5" i="13"/>
  <c r="B14" i="13" s="1"/>
  <c r="B16" i="13" s="1"/>
  <c r="C4" i="13"/>
  <c r="C13" i="13" s="1"/>
  <c r="B4" i="13"/>
  <c r="D45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27" i="12"/>
  <c r="B27" i="12"/>
  <c r="C26" i="12"/>
  <c r="B26" i="12"/>
  <c r="C25" i="12"/>
  <c r="B25" i="12"/>
  <c r="C24" i="12"/>
  <c r="B24" i="12"/>
  <c r="C23" i="12"/>
  <c r="B23" i="12"/>
  <c r="C22" i="12"/>
  <c r="B22" i="12"/>
  <c r="F7" i="12"/>
  <c r="C6" i="12"/>
  <c r="C15" i="12" s="1"/>
  <c r="D15" i="12" s="1"/>
  <c r="B6" i="12"/>
  <c r="C5" i="12"/>
  <c r="C14" i="12" s="1"/>
  <c r="B5" i="12"/>
  <c r="C4" i="12"/>
  <c r="C13" i="12" s="1"/>
  <c r="D13" i="12" s="1"/>
  <c r="B4" i="12"/>
  <c r="D45" i="11"/>
  <c r="C39" i="11"/>
  <c r="B39" i="11"/>
  <c r="C38" i="11"/>
  <c r="B38" i="11"/>
  <c r="C37" i="11"/>
  <c r="B37" i="11"/>
  <c r="C36" i="11"/>
  <c r="B36" i="11"/>
  <c r="C35" i="11"/>
  <c r="B35" i="11"/>
  <c r="C34" i="11"/>
  <c r="B34" i="11"/>
  <c r="C33" i="11"/>
  <c r="B33" i="11"/>
  <c r="C27" i="11"/>
  <c r="B27" i="11"/>
  <c r="C26" i="11"/>
  <c r="B26" i="11"/>
  <c r="C25" i="11"/>
  <c r="B25" i="11"/>
  <c r="C24" i="11"/>
  <c r="B24" i="11"/>
  <c r="C23" i="11"/>
  <c r="B23" i="11"/>
  <c r="C22" i="11"/>
  <c r="B22" i="11"/>
  <c r="F7" i="11"/>
  <c r="C6" i="11"/>
  <c r="C15" i="11" s="1"/>
  <c r="B6" i="11"/>
  <c r="C5" i="11"/>
  <c r="C14" i="11" s="1"/>
  <c r="B5" i="11"/>
  <c r="B14" i="11" s="1"/>
  <c r="B16" i="11" s="1"/>
  <c r="C4" i="11"/>
  <c r="C13" i="11" s="1"/>
  <c r="B4" i="11"/>
  <c r="D45" i="10"/>
  <c r="C39" i="10"/>
  <c r="B39" i="10"/>
  <c r="C38" i="10"/>
  <c r="B38" i="10"/>
  <c r="C37" i="10"/>
  <c r="B37" i="10"/>
  <c r="C36" i="10"/>
  <c r="B36" i="10"/>
  <c r="C35" i="10"/>
  <c r="B35" i="10"/>
  <c r="C34" i="10"/>
  <c r="B34" i="10"/>
  <c r="C33" i="10"/>
  <c r="B33" i="10"/>
  <c r="C27" i="10"/>
  <c r="B27" i="10"/>
  <c r="C26" i="10"/>
  <c r="B26" i="10"/>
  <c r="C25" i="10"/>
  <c r="B25" i="10"/>
  <c r="C24" i="10"/>
  <c r="B24" i="10"/>
  <c r="C23" i="10"/>
  <c r="B23" i="10"/>
  <c r="C22" i="10"/>
  <c r="B22" i="10"/>
  <c r="F7" i="10"/>
  <c r="C6" i="10"/>
  <c r="C15" i="10" s="1"/>
  <c r="D15" i="10" s="1"/>
  <c r="B6" i="10"/>
  <c r="C5" i="10"/>
  <c r="C14" i="10" s="1"/>
  <c r="B5" i="10"/>
  <c r="B14" i="10" s="1"/>
  <c r="B16" i="10" s="1"/>
  <c r="C4" i="10"/>
  <c r="C13" i="10" s="1"/>
  <c r="D13" i="10" s="1"/>
  <c r="B4" i="10"/>
  <c r="C27" i="9"/>
  <c r="B27" i="9"/>
  <c r="C26" i="9"/>
  <c r="B26" i="9"/>
  <c r="C25" i="9"/>
  <c r="B25" i="9"/>
  <c r="C24" i="9"/>
  <c r="B24" i="9"/>
  <c r="C23" i="9"/>
  <c r="B23" i="9"/>
  <c r="C22" i="9"/>
  <c r="B22" i="9"/>
  <c r="F7" i="9"/>
  <c r="I45" i="19" a="1"/>
  <c r="J45" i="19" a="1"/>
  <c r="D15" i="11" l="1"/>
  <c r="D13" i="14"/>
  <c r="B16" i="14"/>
  <c r="B23" i="19"/>
  <c r="D23" i="19" s="1"/>
  <c r="J45" i="19"/>
  <c r="I45" i="19"/>
  <c r="C39" i="19"/>
  <c r="D23" i="15"/>
  <c r="D24" i="16"/>
  <c r="D23" i="13"/>
  <c r="D23" i="16"/>
  <c r="D22" i="10"/>
  <c r="D23" i="17"/>
  <c r="D23" i="11"/>
  <c r="D25" i="11"/>
  <c r="D26" i="11"/>
  <c r="D26" i="12"/>
  <c r="D25" i="13"/>
  <c r="D24" i="14"/>
  <c r="D25" i="19"/>
  <c r="D23" i="12"/>
  <c r="D27" i="12"/>
  <c r="D24" i="17"/>
  <c r="D26" i="19"/>
  <c r="D25" i="17"/>
  <c r="D26" i="13"/>
  <c r="D23" i="10"/>
  <c r="D27" i="13"/>
  <c r="D38" i="15"/>
  <c r="D24" i="11"/>
  <c r="D24" i="19"/>
  <c r="D26" i="10"/>
  <c r="D22" i="13"/>
  <c r="D27" i="15"/>
  <c r="D25" i="16"/>
  <c r="D38" i="16"/>
  <c r="D35" i="11"/>
  <c r="D24" i="10"/>
  <c r="D27" i="10"/>
  <c r="D24" i="12"/>
  <c r="D26" i="16"/>
  <c r="D22" i="11"/>
  <c r="D24" i="15"/>
  <c r="D25" i="12"/>
  <c r="D27" i="16"/>
  <c r="D22" i="12"/>
  <c r="D25" i="10"/>
  <c r="D27" i="11"/>
  <c r="D26" i="17"/>
  <c r="D39" i="17"/>
  <c r="D27" i="19"/>
  <c r="D25" i="14"/>
  <c r="D22" i="16"/>
  <c r="D25" i="15"/>
  <c r="D22" i="17"/>
  <c r="D22" i="19"/>
  <c r="D26" i="15"/>
  <c r="D27" i="17"/>
  <c r="D23" i="14"/>
  <c r="D27" i="14"/>
  <c r="D26" i="14"/>
  <c r="D22" i="14"/>
  <c r="D23" i="9"/>
  <c r="D22" i="18"/>
  <c r="D27" i="18"/>
  <c r="D23" i="18"/>
  <c r="D26" i="18"/>
  <c r="D24" i="18"/>
  <c r="D25" i="18"/>
  <c r="D33" i="18"/>
  <c r="D38" i="18"/>
  <c r="D36" i="19"/>
  <c r="D36" i="18"/>
  <c r="D37" i="18"/>
  <c r="D39" i="18"/>
  <c r="D33" i="16"/>
  <c r="D6" i="17"/>
  <c r="D39" i="16"/>
  <c r="B7" i="17"/>
  <c r="D38" i="17"/>
  <c r="D35" i="18"/>
  <c r="D34" i="17"/>
  <c r="D36" i="14"/>
  <c r="D36" i="17"/>
  <c r="D37" i="17"/>
  <c r="D33" i="17"/>
  <c r="C7" i="17"/>
  <c r="D6" i="16"/>
  <c r="D35" i="17"/>
  <c r="D13" i="17"/>
  <c r="C16" i="17"/>
  <c r="D14" i="17"/>
  <c r="D4" i="17"/>
  <c r="D5" i="17"/>
  <c r="B7" i="14"/>
  <c r="D35" i="15"/>
  <c r="D36" i="16"/>
  <c r="D14" i="14"/>
  <c r="D16" i="14" s="1"/>
  <c r="D37" i="15"/>
  <c r="D34" i="16"/>
  <c r="D37" i="16"/>
  <c r="B7" i="16"/>
  <c r="D35" i="16"/>
  <c r="D13" i="16"/>
  <c r="C16" i="16"/>
  <c r="D14" i="16"/>
  <c r="C7" i="16"/>
  <c r="D4" i="16"/>
  <c r="D5" i="16"/>
  <c r="D36" i="15"/>
  <c r="D5" i="12"/>
  <c r="D38" i="14"/>
  <c r="D6" i="15"/>
  <c r="D33" i="15"/>
  <c r="B7" i="15"/>
  <c r="D37" i="13"/>
  <c r="C7" i="15"/>
  <c r="D34" i="15"/>
  <c r="B7" i="13"/>
  <c r="D35" i="14"/>
  <c r="D39" i="15"/>
  <c r="D4" i="15"/>
  <c r="D14" i="15"/>
  <c r="C13" i="15"/>
  <c r="D5" i="15"/>
  <c r="D35" i="10"/>
  <c r="B7" i="11"/>
  <c r="D6" i="12"/>
  <c r="D33" i="13"/>
  <c r="D38" i="13"/>
  <c r="D6" i="14"/>
  <c r="D37" i="14"/>
  <c r="D34" i="13"/>
  <c r="D39" i="13"/>
  <c r="D33" i="14"/>
  <c r="C7" i="14"/>
  <c r="D6" i="13"/>
  <c r="D34" i="14"/>
  <c r="C15" i="13"/>
  <c r="D15" i="13" s="1"/>
  <c r="D4" i="14"/>
  <c r="D39" i="14"/>
  <c r="C16" i="14"/>
  <c r="D5" i="14"/>
  <c r="D35" i="12"/>
  <c r="D38" i="11"/>
  <c r="D39" i="11"/>
  <c r="D36" i="13"/>
  <c r="D33" i="10"/>
  <c r="D33" i="12"/>
  <c r="D38" i="12"/>
  <c r="D39" i="10"/>
  <c r="D39" i="12"/>
  <c r="D35" i="13"/>
  <c r="D13" i="13"/>
  <c r="D14" i="13"/>
  <c r="C7" i="13"/>
  <c r="D5" i="13"/>
  <c r="D4" i="13"/>
  <c r="D33" i="11"/>
  <c r="D37" i="12"/>
  <c r="B7" i="12"/>
  <c r="C7" i="12"/>
  <c r="D37" i="11"/>
  <c r="D6" i="11"/>
  <c r="D34" i="12"/>
  <c r="D36" i="12"/>
  <c r="B7" i="10"/>
  <c r="D34" i="10"/>
  <c r="D4" i="12"/>
  <c r="C16" i="12"/>
  <c r="B14" i="12"/>
  <c r="B16" i="12" s="1"/>
  <c r="D36" i="11"/>
  <c r="D5" i="10"/>
  <c r="D6" i="10"/>
  <c r="D34" i="11"/>
  <c r="C7" i="11"/>
  <c r="D13" i="11"/>
  <c r="C16" i="11"/>
  <c r="D14" i="11"/>
  <c r="D4" i="11"/>
  <c r="D5" i="11"/>
  <c r="D38" i="10"/>
  <c r="D36" i="10"/>
  <c r="D4" i="10"/>
  <c r="C7" i="10"/>
  <c r="D37" i="10"/>
  <c r="D14" i="10"/>
  <c r="D16" i="10" s="1"/>
  <c r="C16" i="10"/>
  <c r="D24" i="9"/>
  <c r="D25" i="9"/>
  <c r="D22" i="9"/>
  <c r="D26" i="9"/>
  <c r="D27" i="9"/>
  <c r="B37" i="9"/>
  <c r="B35" i="9"/>
  <c r="B36" i="9"/>
  <c r="B38" i="9"/>
  <c r="B34" i="9"/>
  <c r="B35" i="19" l="1"/>
  <c r="C35" i="19"/>
  <c r="B34" i="19"/>
  <c r="C34" i="19"/>
  <c r="B39" i="19"/>
  <c r="D39" i="19" s="1"/>
  <c r="C38" i="19"/>
  <c r="B38" i="19"/>
  <c r="C37" i="19"/>
  <c r="B37" i="19"/>
  <c r="B6" i="19"/>
  <c r="B15" i="19" s="1"/>
  <c r="B5" i="19"/>
  <c r="B14" i="19" s="1"/>
  <c r="B4" i="19"/>
  <c r="B13" i="19" s="1"/>
  <c r="B33" i="19"/>
  <c r="C4" i="19"/>
  <c r="C6" i="19"/>
  <c r="C5" i="19"/>
  <c r="C33" i="19"/>
  <c r="K45" i="19"/>
  <c r="C34" i="18"/>
  <c r="B4" i="18"/>
  <c r="B6" i="18"/>
  <c r="B5" i="18"/>
  <c r="B14" i="18" s="1"/>
  <c r="B16" i="18" s="1"/>
  <c r="C4" i="18"/>
  <c r="C6" i="18"/>
  <c r="C5" i="18"/>
  <c r="D7" i="14"/>
  <c r="D7" i="17"/>
  <c r="D16" i="17"/>
  <c r="D7" i="12"/>
  <c r="D7" i="15"/>
  <c r="D7" i="13"/>
  <c r="D7" i="16"/>
  <c r="D16" i="16"/>
  <c r="C16" i="15"/>
  <c r="D13" i="15"/>
  <c r="D16" i="15" s="1"/>
  <c r="C16" i="13"/>
  <c r="D7" i="11"/>
  <c r="D16" i="13"/>
  <c r="D7" i="10"/>
  <c r="D14" i="12"/>
  <c r="D16" i="12" s="1"/>
  <c r="D16" i="11"/>
  <c r="C39" i="9"/>
  <c r="C38" i="9"/>
  <c r="D38" i="9" s="1"/>
  <c r="B39" i="9"/>
  <c r="C35" i="9"/>
  <c r="D35" i="9" s="1"/>
  <c r="C37" i="9"/>
  <c r="D37" i="9" s="1"/>
  <c r="C34" i="9"/>
  <c r="D34" i="9" s="1"/>
  <c r="C36" i="9"/>
  <c r="D36" i="9" s="1"/>
  <c r="B27" i="1"/>
  <c r="B26" i="1"/>
  <c r="B25" i="1"/>
  <c r="B24" i="1"/>
  <c r="B23" i="1"/>
  <c r="B22" i="1"/>
  <c r="F7" i="1"/>
  <c r="C27" i="1"/>
  <c r="C26" i="1"/>
  <c r="C25" i="1"/>
  <c r="C24" i="1"/>
  <c r="B16" i="19" l="1"/>
  <c r="D35" i="19"/>
  <c r="D34" i="19"/>
  <c r="D38" i="19"/>
  <c r="B7" i="19"/>
  <c r="D33" i="19"/>
  <c r="D37" i="19"/>
  <c r="C13" i="19"/>
  <c r="D4" i="19"/>
  <c r="C7" i="19"/>
  <c r="C14" i="19"/>
  <c r="D14" i="19" s="1"/>
  <c r="D5" i="19"/>
  <c r="C15" i="19"/>
  <c r="D15" i="19" s="1"/>
  <c r="D6" i="19"/>
  <c r="B7" i="18"/>
  <c r="C14" i="18"/>
  <c r="D14" i="18" s="1"/>
  <c r="D5" i="18"/>
  <c r="C15" i="18"/>
  <c r="D15" i="18" s="1"/>
  <c r="D6" i="18"/>
  <c r="C13" i="18"/>
  <c r="C7" i="18"/>
  <c r="D4" i="18"/>
  <c r="D39" i="9"/>
  <c r="D24" i="1"/>
  <c r="D25" i="1"/>
  <c r="D26" i="1"/>
  <c r="D27" i="1"/>
  <c r="D7" i="19" l="1"/>
  <c r="C16" i="19"/>
  <c r="D13" i="19"/>
  <c r="D16" i="19" s="1"/>
  <c r="D7" i="18"/>
  <c r="D13" i="18"/>
  <c r="D16" i="18" s="1"/>
  <c r="C16" i="18"/>
  <c r="C23" i="1" l="1"/>
  <c r="D23" i="1" s="1"/>
  <c r="C22" i="1"/>
  <c r="D22" i="1" s="1"/>
  <c r="D45" i="1"/>
  <c r="B2" i="3" a="1"/>
  <c r="B2" i="3" s="1"/>
  <c r="C2" i="3" a="1"/>
  <c r="C2" i="3" s="1"/>
  <c r="D2" i="3" a="1"/>
  <c r="D2" i="3" s="1"/>
  <c r="B3" i="3" a="1"/>
  <c r="B3" i="3" s="1"/>
  <c r="C3" i="3" a="1"/>
  <c r="C3" i="3" s="1"/>
  <c r="D3" i="3" a="1"/>
  <c r="D3" i="3" s="1"/>
  <c r="B4" i="3" a="1"/>
  <c r="B4" i="3" s="1"/>
  <c r="C4" i="3" a="1"/>
  <c r="C4" i="3" s="1"/>
  <c r="D4" i="3" a="1"/>
  <c r="D4" i="3" s="1"/>
  <c r="B12" i="3" a="1"/>
  <c r="B12" i="3" s="1"/>
  <c r="C12" i="3" a="1"/>
  <c r="C12" i="3" s="1"/>
  <c r="I45" i="16" a="1"/>
  <c r="J45" i="14" a="1"/>
  <c r="J45" i="12" a="1"/>
  <c r="J45" i="17" a="1"/>
  <c r="I45" i="1" a="1"/>
  <c r="J45" i="1" a="1"/>
  <c r="I45" i="14" a="1"/>
  <c r="J45" i="15" a="1"/>
  <c r="I45" i="13" a="1"/>
  <c r="J45" i="18" a="1"/>
  <c r="J45" i="13" a="1"/>
  <c r="I45" i="15" a="1"/>
  <c r="J45" i="10" a="1"/>
  <c r="J45" i="11" a="1"/>
  <c r="I45" i="11" a="1"/>
  <c r="I45" i="12" a="1"/>
  <c r="J45" i="16" a="1"/>
  <c r="I45" i="17" a="1"/>
  <c r="I45" i="10" a="1"/>
  <c r="I45" i="18" a="1"/>
  <c r="J45" i="9" a="1"/>
  <c r="I45" i="9" a="1"/>
  <c r="J45" i="9" l="1"/>
  <c r="I45" i="14"/>
  <c r="J45" i="15"/>
  <c r="I45" i="9"/>
  <c r="J45" i="13"/>
  <c r="J45" i="11"/>
  <c r="J45" i="18"/>
  <c r="K45" i="18" s="1"/>
  <c r="I45" i="13"/>
  <c r="I45" i="12"/>
  <c r="J45" i="10"/>
  <c r="I45" i="10"/>
  <c r="J45" i="16"/>
  <c r="K45" i="16" s="1"/>
  <c r="I45" i="15"/>
  <c r="J45" i="12"/>
  <c r="K45" i="12" s="1"/>
  <c r="J45" i="17"/>
  <c r="K45" i="17" s="1"/>
  <c r="I45" i="17"/>
  <c r="J45" i="14"/>
  <c r="K45" i="14" s="1"/>
  <c r="I45" i="16"/>
  <c r="I45" i="11"/>
  <c r="I45" i="18"/>
  <c r="B34" i="18" s="1"/>
  <c r="D34" i="18" s="1"/>
  <c r="B39" i="1"/>
  <c r="B38" i="1"/>
  <c r="B36" i="1"/>
  <c r="I45" i="1"/>
  <c r="J45" i="1"/>
  <c r="K45" i="1" s="1"/>
  <c r="K45" i="11" l="1"/>
  <c r="B35" i="1"/>
  <c r="C35" i="1"/>
  <c r="D35" i="1" s="1"/>
  <c r="K45" i="10"/>
  <c r="C37" i="1"/>
  <c r="B4" i="9"/>
  <c r="B13" i="9" s="1"/>
  <c r="B6" i="9"/>
  <c r="B15" i="9" s="1"/>
  <c r="B33" i="9"/>
  <c r="B5" i="9"/>
  <c r="B14" i="9" s="1"/>
  <c r="B16" i="9" s="1"/>
  <c r="B34" i="1"/>
  <c r="B4" i="1"/>
  <c r="B33" i="1"/>
  <c r="B6" i="1"/>
  <c r="B5" i="1"/>
  <c r="B14" i="1" s="1"/>
  <c r="K45" i="15"/>
  <c r="C36" i="1"/>
  <c r="D36" i="1" s="1"/>
  <c r="C6" i="1"/>
  <c r="C15" i="1" s="1"/>
  <c r="C5" i="1"/>
  <c r="C14" i="1" s="1"/>
  <c r="C4" i="1"/>
  <c r="C13" i="1" s="1"/>
  <c r="C33" i="1"/>
  <c r="C39" i="1"/>
  <c r="K45" i="13"/>
  <c r="B37" i="1"/>
  <c r="C38" i="1"/>
  <c r="D38" i="1" s="1"/>
  <c r="C34" i="1"/>
  <c r="C4" i="9"/>
  <c r="C6" i="9"/>
  <c r="K45" i="9"/>
  <c r="C5" i="9"/>
  <c r="C33" i="9"/>
  <c r="D39" i="1"/>
  <c r="D37" i="1" l="1"/>
  <c r="D33" i="1"/>
  <c r="D34" i="1"/>
  <c r="D33" i="9"/>
  <c r="C13" i="9"/>
  <c r="D4" i="9"/>
  <c r="C7" i="9"/>
  <c r="B7" i="9"/>
  <c r="D5" i="9"/>
  <c r="C14" i="9"/>
  <c r="D14" i="9" s="1"/>
  <c r="C15" i="9"/>
  <c r="D15" i="9" s="1"/>
  <c r="D6" i="9"/>
  <c r="D14" i="1"/>
  <c r="B16" i="1"/>
  <c r="D15" i="1"/>
  <c r="C16" i="1"/>
  <c r="D13" i="1"/>
  <c r="D6" i="1"/>
  <c r="B7" i="1"/>
  <c r="D4" i="1"/>
  <c r="C7" i="1"/>
  <c r="D5" i="1"/>
  <c r="D7" i="9" l="1"/>
  <c r="D13" i="9"/>
  <c r="D16" i="9" s="1"/>
  <c r="C16" i="9"/>
  <c r="D16" i="1"/>
  <c r="D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<sst xmlns="http://schemas.openxmlformats.org/spreadsheetml/2006/main" count="974" uniqueCount="35">
  <si>
    <t>Type</t>
  </si>
  <si>
    <t>Category</t>
  </si>
  <si>
    <t>Description</t>
  </si>
  <si>
    <t>Currency</t>
  </si>
  <si>
    <t>Projected</t>
  </si>
  <si>
    <t>Actual</t>
  </si>
  <si>
    <t>Difference</t>
  </si>
  <si>
    <t>Sub-category</t>
  </si>
  <si>
    <t>Budget</t>
  </si>
  <si>
    <t>Slice</t>
  </si>
  <si>
    <t>Balance (budget)</t>
  </si>
  <si>
    <t>EUR</t>
  </si>
  <si>
    <t>Balance (currency)</t>
  </si>
  <si>
    <t>All</t>
  </si>
  <si>
    <t>SEK</t>
  </si>
  <si>
    <t>ERIC-B</t>
  </si>
  <si>
    <t>BTC</t>
  </si>
  <si>
    <t>ETH</t>
  </si>
  <si>
    <t>TON</t>
  </si>
  <si>
    <t>Price</t>
  </si>
  <si>
    <t>Share</t>
  </si>
  <si>
    <t>TON/EUR</t>
  </si>
  <si>
    <t>From currency</t>
  </si>
  <si>
    <t>Conversion</t>
  </si>
  <si>
    <t>Investment</t>
  </si>
  <si>
    <t>Income</t>
  </si>
  <si>
    <t>Need</t>
  </si>
  <si>
    <t>Saving</t>
  </si>
  <si>
    <t>Want</t>
  </si>
  <si>
    <t>Expense</t>
  </si>
  <si>
    <t>Transactions</t>
  </si>
  <si>
    <t>Transactions (summary)</t>
  </si>
  <si>
    <t>Actual (EUR)</t>
  </si>
  <si>
    <t>Difference (EUR)</t>
  </si>
  <si>
    <t>Projected (EUR)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</si>
</sst>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0000_-;\-* #,##0.000000_-;_-* &quot;-&quot;??_-;_-@_-"/>
    <numFmt numFmtId="165" formatCode="_-* #,##0.0_-;\-* #,##0.0_-;_-* &quot;-&quot;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ck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4" applyNumberFormat="0" applyFill="0" applyAlignment="0" applyProtection="0"/>
  </cellStyleXfs>
  <cellXfs count="1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43" fontId="0" fillId="0" borderId="0" xfId="1" applyNumberFormat="1" applyFont="1"/>
    <xf numFmtId="9" fontId="0" fillId="0" borderId="0" xfId="0" applyNumberFormat="1"/>
    <xf numFmtId="43" fontId="0" fillId="0" borderId="0" xfId="0" applyNumberFormat="1"/>
    <xf numFmtId="164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0" fontId="3" fillId="0" borderId="4" xfId="2" applyAlignment="1">
      <alignment horizontal="left"/>
    </xf>
    <xf numFmtId="43" fontId="0" fillId="0" borderId="3" xfId="0" applyNumberFormat="1" applyBorder="1"/>
  </cellXfs>
  <cellStyles count="3">
    <cellStyle name="Heading 1" xfId="2" builtinId="16" customBuiltin="1"/>
    <cellStyle name="Normal" xfId="0" builtinId="0"/>
    <cellStyle name="Percent" xfId="1" builtinId="5"/>
  </cellStyles>
  <dxfs count="553"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numFmt numFmtId="164" formatCode="_-* #,##0.000000_-;\-* #,##0.000000_-;_-* &quot;-&quot;??_-;_-@_-"/>
    </dxf>
    <dxf>
      <numFmt numFmtId="35" formatCode="_-* #,##0.00_-;\-* #,##0.00_-;_-* &quot;-&quot;??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FF0000"/>
      </font>
    </dxf>
    <dxf>
      <font>
        <color rgb="FF92D050"/>
      </font>
      <fill>
        <patternFill patternType="none">
          <bgColor auto="1"/>
        </patternFill>
      </fill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FF0000"/>
      </font>
    </dxf>
    <dxf>
      <font>
        <color rgb="FF92D050"/>
      </font>
      <fill>
        <patternFill patternType="none">
          <bgColor auto="1"/>
        </patternFill>
      </fill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13" formatCode="0%"/>
    </dxf>
    <dxf>
      <numFmt numFmtId="13" formatCode="0%"/>
    </dxf>
    <dxf>
      <numFmt numFmtId="0" formatCode="General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35" formatCode="_-* #,##0.00_-;\-* #,##0.00_-;_-* &quot;-&quot;??_-;_-@_-"/>
      <border diagonalUp="0" diagonalDown="0" outline="0">
        <left/>
        <right/>
        <top style="thin">
          <color theme="1"/>
        </top>
        <bottom/>
      </border>
    </dxf>
    <dxf>
      <font>
        <color rgb="FFFF0000"/>
      </font>
    </dxf>
    <dxf>
      <font>
        <color rgb="FF92D050"/>
      </font>
      <fill>
        <patternFill patternType="none">
          <bgColor auto="1"/>
        </patternFill>
      </fill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FF0000"/>
      </font>
    </dxf>
    <dxf>
      <font>
        <color rgb="FF92D050"/>
      </font>
      <fill>
        <patternFill patternType="none">
          <bgColor auto="1"/>
        </patternFill>
      </fill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3" formatCode="0%"/>
    </dxf>
    <dxf>
      <numFmt numFmtId="13" formatCode="0%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numFmt numFmtId="166" formatCode="_-* #,##0.00\ _k_r_-;\-* #,##0.00\ _k_r_-;_-* &quot;-&quot;??\ _k_r_-;_-@_-"/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fill>
        <patternFill>
          <bgColor theme="5"/>
        </patternFill>
      </fill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ichStyles" Target="richData/rich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17/06/relationships/rdSupportingPropertyBag" Target="richData/rdsupportingpropertybag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9">
  <rv s="0">
    <v>en-US</v>
    <v>avupar</v>
    <v>268435456</v>
    <v>1</v>
    <v>Powered by Refinitiv</v>
    <v>0</v>
    <v>SEK/EUR</v>
    <v>2</v>
    <v>3</v>
    <v>Finance</v>
    <v>4</v>
    <v>9.6699999999999994E-2</v>
    <v>8.6999999999999994E-2</v>
    <v>0</v>
    <v>0</v>
    <v>EUR</v>
    <v>SEK</v>
    <v>Currency Pair</v>
    <v>45058.875</v>
    <v>Swedish Krona/Euro FX Cross Rate</v>
    <v>8.8599999999999998E-2</v>
    <v>8.8599999999999998E-2</v>
    <v>SEKEUR</v>
    <v>SEK/EUR</v>
  </rv>
  <rv s="1">
    <v>0</v>
  </rv>
  <rv s="2">
    <v>en-US</v>
    <v>bo8mpr</v>
    <v>268435456</v>
    <v>1</v>
    <v>Powered by Refinitiv</v>
    <v>5</v>
    <v>BTC/EUR</v>
    <v>2</v>
    <v>6</v>
    <v>Finance</v>
    <v>4</v>
    <v>32864.936000000002</v>
    <v>15116.6878</v>
    <v>230.11760000000001</v>
    <v>9.3030000000000005E-3</v>
    <v>EUR</v>
    <v>BTC</v>
    <v>25064.504199999999</v>
    <v>Currency Pair</v>
    <v>45058.666250000002</v>
    <v>24520.649000000001</v>
    <v>Bitcoin/Euro FX Cross Rate</v>
    <v>24803.7228</v>
    <v>24734.8658</v>
    <v>24964.983400000001</v>
    <v>BTCEUR</v>
    <v>BTC/EUR</v>
  </rv>
  <rv s="1">
    <v>2</v>
  </rv>
  <rv s="2">
    <v>en-US</v>
    <v>borpmw</v>
    <v>268435456</v>
    <v>1</v>
    <v>Powered by Refinitiv</v>
    <v>5</v>
    <v>ETH/EUR</v>
    <v>2</v>
    <v>6</v>
    <v>Finance</v>
    <v>4</v>
    <v>2435.6990000000001</v>
    <v>956.17899999999997</v>
    <v>31.611000000000001</v>
    <v>1.9212E-2</v>
    <v>EUR</v>
    <v>ETH</v>
    <v>1681.3489999999999</v>
    <v>Currency Pair</v>
    <v>45060.666238425925</v>
    <v>1651.4559999999999</v>
    <v>Ethereum/Euro FX Cross Rate</v>
    <v>1662.2739999999999</v>
    <v>1645.4069999999999</v>
    <v>1677.018</v>
    <v>ETHEUR</v>
    <v>ETH/EUR</v>
  </rv>
  <rv s="1">
    <v>4</v>
  </rv>
  <rv s="3">
    <v>https://www.bing.com/financeapi/forcetrigger?t=amwif2&amp;q=XSTO%3aERIC+B&amp;form=skydnc</v>
    <v>Learn more on Bing</v>
  </rv>
  <rv s="4">
    <v>en-US</v>
    <v>amwif2</v>
    <v>268435456</v>
    <v>1</v>
    <v>Powered by Refinitiv</v>
    <v>7</v>
    <v>Telefonaktiebolaget LM Ericsson (XSTO:ERIC B)</v>
    <v>8</v>
    <v>9</v>
    <v>Finance</v>
    <v>10</v>
    <v>121.8</v>
    <v>53.36</v>
    <v>0.2671</v>
    <v>0.5</v>
    <v>9.3480000000000004E-3</v>
    <v>SEK</v>
    <v>Telefonaktiebolaget LM Ericsson (Ericsson) provides infrastructure, services and software to the telecommunication industry and other sectors. The Company's segments include Networks, IT &amp; Cloud and Media. The Networks segment consists of two business units: Network Products and Network Services. The overall focus is on evolving and managing access networks, including the development of hardware and software for radio access and transport networks. The IT &amp; Cloud business includes two business units: IT &amp; Cloud Products and IT &amp; Cloud Services. The focus in IT &amp; Cloud is to help telecom operators and selected enterprises through the digital transformations ahead. It develops and delivers software-based solutions for television and media and combines a product portfolio that spans the television value chain, with systems integration and managed services. The portfolio includes compression, content publishing through set-top box or pure over-the-top, content delivery and analytics.</v>
    <v>104931</v>
    <v>NASDAQ Stockholm</v>
    <v>XSTO</v>
    <v>XSTO</v>
    <v>Torshamnsgatan 21, STOCKHOLM, STOCKHOLM, 164 40 SE</v>
    <v>54.19</v>
    <v>Communications &amp; Networking</v>
    <v>Stock</v>
    <v>45058.666666666664</v>
    <v>6</v>
    <v>53.49</v>
    <v>181714900000</v>
    <v>Telefonaktiebolaget LM Ericsson</v>
    <v>Telefonaktiebolaget LM Ericsson</v>
    <v>53.49</v>
    <v>10.28</v>
    <v>53.49</v>
    <v>53.99</v>
    <v>3334152000</v>
    <v>ERIC B</v>
    <v>Telefonaktiebolaget LM Ericsson (XSTO:ERIC B)</v>
    <v>7129528</v>
    <v>8455450</v>
    <v>1918</v>
  </rv>
  <rv s="1">
    <v>7</v>
  </rv>
</rvData>
</file>

<file path=xl/richData/rdrichvaluestructure.xml><?xml version="1.0" encoding="utf-8"?>
<rvStructures xmlns="http://schemas.microsoft.com/office/spreadsheetml/2017/richdata" count="5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Instrument type" t="s"/>
    <k n="Last trade time"/>
    <k n="Name" t="s"/>
    <k n="Previous close"/>
    <k n="Price"/>
    <k n="Ticker symbol" t="s"/>
    <k n="UniqueName" t="s"/>
  </s>
  <s t="_linkedentity">
    <k n="%cvi" t="r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Description" t="s"/>
    <k n="Employees"/>
    <k n="Exchange" t="s"/>
    <k n="Exchange abbreviation" t="s"/>
    <k n="ExchangeID" t="s"/>
    <k n="Headquarters" t="s"/>
    <k n="High"/>
    <k n="Industry" t="s"/>
    <k n="Instrument type" t="s"/>
    <k n="Last trade time"/>
    <k n="LearnMoreOnLink" t="r"/>
    <k n="Low"/>
    <k n="Market cap"/>
    <k n="Name" t="s"/>
    <k n="Official name" t="s"/>
    <k n="Open"/>
    <k n="P/E"/>
    <k n="Previous close"/>
    <k n="Price"/>
    <k n="Shares outstanding"/>
    <k n="Ticker symbol" t="s"/>
    <k n="UniqueName" t="s"/>
    <k n="Volume"/>
    <k n="Volume average"/>
    <k n="Year incorporated"/>
  </s>
</rvStructures>
</file>

<file path=xl/richData/rdsupportingpropertybag.xml><?xml version="1.0" encoding="utf-8"?>
<supportingPropertyBags xmlns="http://schemas.microsoft.com/office/spreadsheetml/2017/richdata2">
  <spbArrays count="3">
    <a count="24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52 week high</v>
      <v t="s">52 week low</v>
      <v t="s">Instrument type</v>
      <v t="s">_Flags</v>
      <v t="s">UniqueName</v>
      <v t="s">_DisplayString</v>
      <v t="s">%ProviderInfo</v>
    </a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  <a count="42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Official name</v>
      <v t="s">Last trade time</v>
      <v t="s">Ticker symbol</v>
      <v t="s">Exchange abbreviation</v>
      <v t="s">Change</v>
      <v t="s">Change (%)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P/E</v>
      <v t="s">Shares outstanding</v>
      <v t="s">Description</v>
      <v t="s">Employees</v>
      <v t="s">Headquarters</v>
      <v t="s">Industry</v>
      <v t="s">Instrument type</v>
      <v t="s">Year incorporated</v>
      <v t="s">_Flags</v>
      <v t="s">UniqueName</v>
      <v t="s">_DisplayString</v>
      <v t="s">LearnMoreOnLink</v>
      <v t="s">ExchangeID</v>
      <v t="s">%ProviderInfo</v>
    </a>
  </spbArrays>
  <spbData count="11">
    <spb s="0">
      <v>0</v>
      <v>Name</v>
    </spb>
    <spb s="1">
      <v>0</v>
      <v>0</v>
      <v>0</v>
    </spb>
    <spb s="2">
      <v>1</v>
      <v>1</v>
    </spb>
    <spb s="3">
      <v>1</v>
      <v>2</v>
      <v>2</v>
      <v>3</v>
      <v>2</v>
      <v>2</v>
      <v>2</v>
      <v>4</v>
      <v>5</v>
    </spb>
    <spb s="4">
      <v>GMT</v>
    </spb>
    <spb s="0">
      <v>1</v>
      <v>Name</v>
    </spb>
    <spb s="5">
      <v>2</v>
      <v>2</v>
      <v>1</v>
      <v>2</v>
      <v>2</v>
      <v>2</v>
      <v>3</v>
      <v>2</v>
      <v>2</v>
      <v>2</v>
      <v>4</v>
      <v>5</v>
    </spb>
    <spb s="6">
      <v>2</v>
      <v>Name</v>
      <v>LearnMoreOnLink</v>
    </spb>
    <spb s="7">
      <v>1</v>
      <v>1</v>
      <v>1</v>
      <v>1</v>
    </spb>
    <spb s="8">
      <v>6</v>
      <v>7</v>
      <v>7</v>
      <v>6</v>
      <v>1</v>
      <v>6</v>
      <v>6</v>
      <v>6</v>
      <v>8</v>
      <v>8</v>
      <v>3</v>
      <v>9</v>
      <v>6</v>
      <v>6</v>
      <v>6</v>
      <v>8</v>
      <v>4</v>
      <v>10</v>
      <v>5</v>
      <v>8</v>
    </spb>
    <spb s="9">
      <v>Delayed 15 minutes</v>
      <v>from previous close</v>
      <v>from previous close</v>
      <v>Source: Nasdaq Nordic</v>
      <v>GMT</v>
    </spb>
  </spbData>
</supportingPropertyBags>
</file>

<file path=xl/richData/rdsupportingpropertybagstructure.xml><?xml version="1.0" encoding="utf-8"?>
<spbStructures xmlns="http://schemas.microsoft.com/office/spreadsheetml/2017/richdata2" count="10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Name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^Order" t="spba"/>
    <k n="TitleProperty" t="s"/>
    <k n="SubTitleProperty" t="s"/>
  </s>
  <s>
    <k n="ExchangeID" t="spb"/>
    <k n="UniqueName" t="spb"/>
    <k n="`%ProviderInfo" t="spb"/>
    <k n="LearnMoreOnLink" t="spb"/>
  </s>
  <s>
    <k n="Low" t="i"/>
    <k n="P/E" t="i"/>
    <k n="Beta" t="i"/>
    <k n="High" t="i"/>
    <k n="Name" t="i"/>
    <k n="Open" t="i"/>
    <k n="Price" t="i"/>
    <k n="Change" t="i"/>
    <k n="Volume" t="i"/>
    <k n="Employees" t="i"/>
    <k n="Change (%)" t="i"/>
    <k n="Market cap" t="i"/>
    <k n="52 week low" t="i"/>
    <k n="52 week high" t="i"/>
    <k n="Previous close" t="i"/>
    <k n="Volume average" t="i"/>
    <k n="Last trade time" t="i"/>
    <k n="Year incorporated" t="i"/>
    <k n="`%EntityServiceId" t="i"/>
    <k n="Shares outstanding" t="i"/>
  </s>
  <s>
    <k n="Price" t="s"/>
    <k n="Change" t="s"/>
    <k n="Change (%)" t="s"/>
    <k n="ExchangeID" t="s"/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0" formatCode="General"/>
    </x:dxf>
    <x:dxf>
      <x:numFmt numFmtId="4" formatCode="#,##0.00"/>
    </x:dxf>
    <x:dxf>
      <x:numFmt numFmtId="3" formatCode="#,##0"/>
    </x:dxf>
    <x:dxf>
      <x:numFmt numFmtId="14" formatCode="0.00%"/>
    </x:dxf>
    <x:dxf>
      <x:numFmt numFmtId="27" formatCode="dd/mm/yyyy\ hh:mm"/>
    </x:dxf>
    <x:dxf>
      <x:numFmt numFmtId="1" formatCode="0"/>
    </x:dxf>
    <x:dxf>
      <x:numFmt numFmtId="2" formatCode="0.00"/>
    </x:dxf>
  </dxfs>
  <richProperties>
    <rPr n="IsTitleField" t="b"/>
    <rPr n="NumberFormat" t="s"/>
  </richProperties>
  <richStyles>
    <rSty>
      <rpv i="0">1</rpv>
    </rSty>
    <rSty dxfid="0">
      <rpv i="1">_([$€-x-euro2] * #,##0.00_);_([$€-x-euro2] * (#,##0.00);_([$€-x-euro2] * "-"??_);_(@_)</rpv>
    </rSty>
    <rSty dxfid="3"/>
    <rSty dxfid="4"/>
    <rSty dxfid="6">
      <rpv i="1">0.00</rpv>
    </rSty>
    <rSty dxfid="0">
      <rpv i="1">_-* #,##0.00 [$kr-smj-SE]_-;-* #,##0.00 [$kr-smj-SE]_-;_-* "-"?? [$kr-smj-SE]_-;_-@_-</rpv>
    </rSty>
    <rSty dxfid="1">
      <rpv i="1">#,##0.00</rpv>
    </rSty>
    <rSty dxfid="2">
      <rpv i="1">#,##0</rpv>
    </rSty>
    <rSty dxfid="0">
      <rpv i="1">_-* #,##0 [$kr-smj-SE]_-;-* #,##0 [$kr-smj-SE]_-;_-* "-" [$kr-smj-SE]_-;_-@_-</rpv>
    </rSty>
    <rSty dxfid="5">
      <rpv i="1">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0AFB360-B52C-CB44-8B61-C86097DA8FB8}" name="Transactions01" displayName="Transactions01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3843AA7A-63F9-8C40-9382-D5C839F95942}" name="Currency"/>
    <tableColumn id="5" xr3:uid="{2DE84C60-20A6-F04C-BBDC-C733D9EDBD94}" name="Projected" dataDxfId="17"/>
    <tableColumn id="6" xr3:uid="{9AF1319E-0A89-3340-9932-CAEE4C43546B}" name="Actual" dataDxfId="16"/>
    <tableColumn id="3" xr3:uid="{D35E419D-CC3A-8A4F-BFE5-D2FFA8B5F14D}" name="Difference" dataDxfId="15">
      <calculatedColumnFormula>Transactions01[[#This Row],[Actual]]-Transactions01[[#This Row],[Projected]]</calculatedColumnFormula>
    </tableColumn>
    <tableColumn id="1" xr3:uid="{1C60E522-2331-EB41-B921-6517C0357722}" name="Type"/>
    <tableColumn id="8" xr3:uid="{22075119-D919-2C45-8B1F-BDB09F883BC0}" name="Category"/>
    <tableColumn id="2" xr3:uid="{4E8434DF-05B9-B647-86F8-908D7607E11B}" name="Sub-category"/>
    <tableColumn id="9" xr3:uid="{17EA39BB-2BEB-854D-8BDB-D27632D06DEA}" name="Description"/>
    <tableColumn id="7" xr3:uid="{272C75E0-BBA9-AE46-80E2-D0B3E2CFA99D}" name="Projected (EUR)" dataDxfId="14">
      <calculatedColumnFormula array="1">CONVERT2EUR(Transactions01[[#This Row],[Currency]], Transactions01[[#This Row],[Projected]])</calculatedColumnFormula>
    </tableColumn>
    <tableColumn id="10" xr3:uid="{83D9F1C4-D222-A24E-8945-BAF6D38F4CB0}" name="Actual (EUR)" dataDxfId="13">
      <calculatedColumnFormula array="1">CONVERT2EUR(Transactions01[[#This Row],[Currency]], Transactions01[[#This Row],[Actual]])</calculatedColumnFormula>
    </tableColumn>
    <tableColumn id="11" xr3:uid="{A260C673-CABF-2D44-BD32-7D3FEE87B639}" name="Difference (EUR)" dataDxfId="12">
      <calculatedColumnFormula>Transactions01[[#This Row],[Actual (EUR)]] - Transactions01[[#This Row],[Projected (EUR)]]</calculatedColumnFormula>
    </tableColumn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4CA7B2B-40F3-DC4D-9DB7-1136EEFF3A46}" name="Budget094954596469747984" displayName="Budget094954596469747984" ref="A3:F7" totalsRowCount="1">
  <autoFilter ref="A3:F6" xr:uid="{F0794A87-15C6-41FB-830A-DCD8A580D945}"/>
  <tableColumns count="6">
    <tableColumn id="8" xr3:uid="{91181F02-23BD-5944-B36E-CBE2418D7828}" name="Currency" totalsRowLabel="EUR" dataDxfId="21"/>
    <tableColumn id="2" xr3:uid="{A63F62A2-EFCD-A045-A8E7-B3BD4CE07B8F}" name="Projected" totalsRowFunction="sum" dataDxfId="11" totalsRowDxfId="539">
      <calculatedColumnFormula xml:space="preserve"> Budget094954596469747984[[#This Row],[Slice]] * SUMIFS(Transactions01[Projected (EUR)], Transactions01[Type], "Income")</calculatedColumnFormula>
    </tableColumn>
    <tableColumn id="3" xr3:uid="{433CBD40-A24E-914A-B2D1-E3C4A178F92B}" name="Actual" totalsRowFunction="sum" dataDxfId="10" totalsRowDxfId="538">
      <calculatedColumnFormula xml:space="preserve"> Budget094954596469747984[[#This Row],[Slice]] * SUMIFS(Transactions01[Actual (EUR)], Transactions01[Type], "Income")</calculatedColumnFormula>
    </tableColumn>
    <tableColumn id="4" xr3:uid="{CAC6407E-BF35-7742-98F2-41747A27301C}" name="Difference" totalsRowFunction="sum" dataDxfId="9" totalsRowDxfId="537">
      <calculatedColumnFormula>Budget094954596469747984[[#This Row],[Actual]]-Budget094954596469747984[[#This Row],[Projected]]</calculatedColumnFormula>
    </tableColumn>
    <tableColumn id="6" xr3:uid="{90C9B527-62E9-F24E-BFFC-8D2FBCDF7507}" name="Category" totalsRowLabel="All" dataDxfId="20"/>
    <tableColumn id="9" xr3:uid="{433427B6-3E47-9341-BF9F-AA8E892FDC6B}" name="Slice" totalsRowFunction="sum" dataDxfId="536" totalsRowDxfId="535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AA319A88-0B74-3445-AA45-63A87D6B8379}" name="TransactionsSummary095055606570758085" displayName="TransactionsSummary095055606570758085" ref="A32:F39">
  <autoFilter ref="A32:F39" xr:uid="{713728AE-6BDD-4D46-B9B2-DD02597E5EAD}"/>
  <tableColumns count="6">
    <tableColumn id="8" xr3:uid="{65771CC1-756C-3348-B443-30F5073C4658}" name="Currency" totalsRowLabel="EUR" dataDxfId="19"/>
    <tableColumn id="2" xr3:uid="{F0BB4638-B383-FD4F-9847-6380FF9562FF}" name="Projected" totalsRowFunction="sum" dataDxfId="8" totalsRowDxfId="534">
      <calculatedColumnFormula xml:space="preserve"> SUMIFS(Transactions01[Projected (EUR)], Transactions01[Type], TransactionsSummary095055606570758085[[#This Row],[Type]], Transactions01[Category], TransactionsSummary095055606570758085[[#This Row],[Category]])</calculatedColumnFormula>
    </tableColumn>
    <tableColumn id="3" xr3:uid="{F2DE60D0-7E20-724B-A25D-ED851B6C25A2}" name="Actual" totalsRowFunction="sum" dataDxfId="7">
      <calculatedColumnFormula xml:space="preserve"> SUMIFS(Transactions01[Actual (EUR)], Transactions01[Type], TransactionsSummary095055606570758085[[#This Row],[Type]], Transactions01[Category], TransactionsSummary095055606570758085[[#This Row],[Category]])</calculatedColumnFormula>
    </tableColumn>
    <tableColumn id="4" xr3:uid="{B80969C1-17FF-DD41-8C71-D5568488AEBD}" name="Difference" totalsRowFunction="sum" dataDxfId="6" totalsRowDxfId="533">
      <calculatedColumnFormula>TransactionsSummary095055606570758085[[#This Row],[Actual]]-TransactionsSummary095055606570758085[[#This Row],[Projected]]</calculatedColumnFormula>
    </tableColumn>
    <tableColumn id="6" xr3:uid="{DA6DEECC-A3C3-6A49-8C44-39C278D53112}" name="Type" totalsRowLabel="All" dataDxfId="18"/>
    <tableColumn id="9" xr3:uid="{C522D97F-8BBD-EA49-A205-DB8122011FD2}" name="Category" dataDxfId="532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EF764D-4729-AA49-A707-F2AAC2E722C2}" name="BalanceBudget095156616671768186" displayName="BalanceBudget095156616671768186" ref="A12:E16" totalsRowCount="1">
  <autoFilter ref="A12:E15" xr:uid="{20B85D4C-DE74-40AD-93EF-EEC715B5DC66}"/>
  <tableColumns count="5">
    <tableColumn id="1" xr3:uid="{11492595-F72C-6540-BEB0-F1CA62788A41}" name="Currency" totalsRowLabel="EUR"/>
    <tableColumn id="2" xr3:uid="{B1812747-9CB4-C543-9F83-9C8DC9294C29}" name="Projected" totalsRowFunction="sum" dataDxfId="5" totalsRowDxfId="531"/>
    <tableColumn id="3" xr3:uid="{6CDA323C-0487-9F4D-8776-55CA70004444}" name="Actual" totalsRowFunction="sum" dataDxfId="4" totalsRowDxfId="530">
      <calculatedColumnFormula xml:space="preserve">
SUMIFS(Budget094954596469747984[Actual], Budget094954596469747984[Category], BalanceBudget095156616671768186[[#This Row],[Category]]) -
SUMIFS(Transactions01[Actual (EUR)], Transactions01[Type], "&lt;&gt;Income", Transactions01[Category], BalanceBudget095156616671768186[[#This Row],[Category]])</calculatedColumnFormula>
    </tableColumn>
    <tableColumn id="4" xr3:uid="{AD2C1400-9583-1F42-89C5-21563CF0F2B8}" name="Difference" totalsRowFunction="sum" dataDxfId="3" totalsRowDxfId="529">
      <calculatedColumnFormula>BalanceBudget095156616671768186[[#This Row],[Actual]] - BalanceBudget095156616671768186[[#This Row],[Projected]]</calculatedColumnFormula>
    </tableColumn>
    <tableColumn id="5" xr3:uid="{BEDC6606-A08C-B64A-8B21-CD6EF37A4F0D}" name="Category" totalsRowLabel="All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F8E2A1BC-F790-A247-B451-15F5E99F2C63}" name="BalanceCurrency095257626772778287" displayName="BalanceCurrency095257626772778287" ref="A21:D27" totalsRowShown="0">
  <autoFilter ref="A21:D27" xr:uid="{A84D0160-C5B3-4C85-92A8-EE4858CA89D3}"/>
  <tableColumns count="4">
    <tableColumn id="1" xr3:uid="{14903CA0-61BC-714D-8728-1A416A52E023}" name="Currency"/>
    <tableColumn id="2" xr3:uid="{186507E4-1607-8C4E-B510-F534ECE3A345}" name="Projected" dataDxfId="2">
      <calculatedColumnFormula xml:space="preserve">
SUMIFS(Transactions01[Projected], Transactions01[Currency], BalanceCurrency095257626772778287[[#This Row],[Currency]], Transactions01[Type], "Income") -
SUMIFS(Transactions01[Projected], Transactions01[Currency], BalanceCurrency095257626772778287[[#This Row],[Currency]], Transactions01[Type], "&lt;&gt;Income")</calculatedColumnFormula>
    </tableColumn>
    <tableColumn id="3" xr3:uid="{AC4F0E33-8D85-F24C-8807-2A5E160CA7D2}" name="Actual" dataDxfId="1">
      <calculatedColumnFormula xml:space="preserve">
SUMIFS(Transactions01[Actual], Transactions01[Currency], BalanceCurrency095257626772778287[[#This Row],[Currency]], Transactions01[Type], "Income") -
SUMIFS(Transactions01[Actual], Transactions01[Currency], BalanceCurrency095257626772778287[[#This Row],[Currency]], Transactions01[Type], "&lt;&gt;Income")</calculatedColumnFormula>
    </tableColumn>
    <tableColumn id="4" xr3:uid="{41D2F194-E6FB-E34A-A38B-93373251A7A8}" name="Difference" dataDxfId="0">
      <calculatedColumnFormula>BalanceCurrency095257626772778287[[#This Row],[Actual]] - BalanceCurrency095257626772778287[[#This Row],[Projected]]</calculatedColumnFormula>
    </tableColumn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257D32D8-28CF-9643-943F-BCAA9D612E57}" name="Transactions02" displayName="Transactions02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FC92C6C0-9585-B944-BB08-CFFDFF033EA3}" name="Currency"/>
    <tableColumn id="5" xr3:uid="{77E80A39-D9B7-DA4C-80BC-AA1DF4F7F970}" name="Projected" dataDxfId="39"/>
    <tableColumn id="6" xr3:uid="{777F8682-1572-5442-9011-4339046CD11E}" name="Actual" dataDxfId="38"/>
    <tableColumn id="3" xr3:uid="{73CEC1D0-E679-F04E-8B00-D0BB0CA1FB68}" name="Difference" dataDxfId="37">
      <calculatedColumnFormula>Transactions02[[#This Row],[Actual]]-Transactions02[[#This Row],[Projected]]</calculatedColumnFormula>
    </tableColumn>
    <tableColumn id="1" xr3:uid="{9EFDDCD5-AEE7-EB4C-BDD9-7230610DF2E3}" name="Type"/>
    <tableColumn id="8" xr3:uid="{00621961-BA08-0E46-A588-6871327C9E83}" name="Category"/>
    <tableColumn id="2" xr3:uid="{52B8A9D7-F463-5E49-ADEA-38CE49ADDA88}" name="Sub-category"/>
    <tableColumn id="9" xr3:uid="{6C08CDF9-B19E-A245-865B-8DFA0ECED4FC}" name="Description"/>
    <tableColumn id="7" xr3:uid="{8857D75A-51E9-4C4D-9866-25E7D7EAAB52}" name="Projected (EUR)" dataDxfId="36">
      <calculatedColumnFormula array="1">CONVERT2EUR(Transactions02[[#This Row],[Currency]], Transactions02[[#This Row],[Projected]])</calculatedColumnFormula>
    </tableColumn>
    <tableColumn id="10" xr3:uid="{F45E9A18-4145-0849-ABD9-7616460E1FE3}" name="Actual (EUR)" dataDxfId="35">
      <calculatedColumnFormula array="1">CONVERT2EUR(Transactions02[[#This Row],[Currency]], Transactions02[[#This Row],[Actual]])</calculatedColumnFormula>
    </tableColumn>
    <tableColumn id="11" xr3:uid="{3C965CA3-AD56-AB40-852C-D56E140A6B69}" name="Difference (EUR)" dataDxfId="34">
      <calculatedColumnFormula>Transactions02[[#This Row],[Actual (EUR)]] - Transactions02[[#This Row],[Projected (EUR)]]</calculatedColumnFormula>
    </tableColumn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E4CE540A-BAF4-CF45-90E4-7F9983F47665}" name="Budget0949545964697479" displayName="Budget0949545964697479" ref="A3:F7" totalsRowCount="1">
  <autoFilter ref="A3:F6" xr:uid="{F0794A87-15C6-41FB-830A-DCD8A580D945}"/>
  <tableColumns count="6">
    <tableColumn id="8" xr3:uid="{5381B96A-BB8E-0B4F-BC88-CE1BFC993C31}" name="Currency" totalsRowLabel="EUR" dataDxfId="43"/>
    <tableColumn id="2" xr3:uid="{72993350-953A-A34A-B2EB-2F82842A8B60}" name="Projected" totalsRowFunction="sum" dataDxfId="33" totalsRowDxfId="515">
      <calculatedColumnFormula xml:space="preserve"> Budget0949545964697479[[#This Row],[Slice]] * SUMIFS(Transactions02[Projected (EUR)], Transactions02[Type], "Income")</calculatedColumnFormula>
    </tableColumn>
    <tableColumn id="3" xr3:uid="{2ADFA2FB-077C-8448-BBEB-D19625843FD2}" name="Actual" totalsRowFunction="sum" dataDxfId="32" totalsRowDxfId="514">
      <calculatedColumnFormula xml:space="preserve"> Budget0949545964697479[[#This Row],[Slice]] * SUMIFS(Transactions02[Actual (EUR)], Transactions02[Type], "Income")</calculatedColumnFormula>
    </tableColumn>
    <tableColumn id="4" xr3:uid="{BFD7F23C-15D4-6A4D-99E2-BF85E7D5BF78}" name="Difference" totalsRowFunction="sum" dataDxfId="31" totalsRowDxfId="513">
      <calculatedColumnFormula>Budget0949545964697479[[#This Row],[Actual]]-Budget0949545964697479[[#This Row],[Projected]]</calculatedColumnFormula>
    </tableColumn>
    <tableColumn id="6" xr3:uid="{293F65A6-683B-E743-AF45-7F1FFD3E8193}" name="Category" totalsRowLabel="All" dataDxfId="42"/>
    <tableColumn id="9" xr3:uid="{C97B5CDE-7F87-1949-8626-FA985EC80831}" name="Slice" totalsRowFunction="sum" dataDxfId="512" totalsRowDxfId="511"/>
  </tableColumns>
  <tableStyleInfo name="TableStyleMedium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FFA8DF80-A192-2B49-8BCB-2E7499915C43}" name="TransactionsSummary0950556065707580" displayName="TransactionsSummary0950556065707580" ref="A32:F39">
  <autoFilter ref="A32:F39" xr:uid="{713728AE-6BDD-4D46-B9B2-DD02597E5EAD}"/>
  <tableColumns count="6">
    <tableColumn id="8" xr3:uid="{8EC127FD-78DD-2A43-AC03-0B082CEAA79E}" name="Currency" totalsRowLabel="EUR" dataDxfId="41"/>
    <tableColumn id="2" xr3:uid="{3EB0E0D0-40C0-A342-A4DD-78128605236F}" name="Projected" totalsRowFunction="sum" dataDxfId="30" totalsRowDxfId="510">
      <calculatedColumnFormula xml:space="preserve"> SUMIFS(Transactions02[Projected (EUR)], Transactions02[Type], TransactionsSummary0950556065707580[[#This Row],[Type]], Transactions02[Category], TransactionsSummary0950556065707580[[#This Row],[Category]])</calculatedColumnFormula>
    </tableColumn>
    <tableColumn id="3" xr3:uid="{DE685081-3C39-F544-B5F4-582817125A95}" name="Actual" totalsRowFunction="sum" dataDxfId="29">
      <calculatedColumnFormula xml:space="preserve"> SUMIFS(Transactions02[Actual (EUR)], Transactions02[Type], TransactionsSummary0950556065707580[[#This Row],[Type]], Transactions02[Category], TransactionsSummary0950556065707580[[#This Row],[Category]])</calculatedColumnFormula>
    </tableColumn>
    <tableColumn id="4" xr3:uid="{6553992C-F007-774B-AA5D-3A4F8FA036EF}" name="Difference" totalsRowFunction="sum" dataDxfId="28" totalsRowDxfId="509">
      <calculatedColumnFormula>TransactionsSummary0950556065707580[[#This Row],[Actual]]-TransactionsSummary0950556065707580[[#This Row],[Projected]]</calculatedColumnFormula>
    </tableColumn>
    <tableColumn id="6" xr3:uid="{A1ED3900-0536-E94B-A8CF-879C1F6A6FCA}" name="Type" totalsRowLabel="All" dataDxfId="40"/>
    <tableColumn id="9" xr3:uid="{F411BF28-42E5-EB4F-9C9D-033BA64575C4}" name="Category" dataDxfId="508"/>
  </tableColumns>
  <tableStyleInfo name="TableStyleMedium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1573FF6F-A5BD-8E40-935B-BF25DF132B14}" name="BalanceBudget0951566166717681" displayName="BalanceBudget0951566166717681" ref="A12:E16" totalsRowCount="1">
  <autoFilter ref="A12:E15" xr:uid="{20B85D4C-DE74-40AD-93EF-EEC715B5DC66}"/>
  <tableColumns count="5">
    <tableColumn id="1" xr3:uid="{7962F5FB-E2E7-B34C-A20E-D1E746478909}" name="Currency" totalsRowLabel="EUR"/>
    <tableColumn id="2" xr3:uid="{D9AB2185-F5D8-6241-B681-BC015A693876}" name="Projected" totalsRowFunction="sum" dataDxfId="27" totalsRowDxfId="507">
      <calculatedColumnFormula xml:space="preserve">
SUMIFS(Budget0949545964697479[Projected], Budget0949545964697479[Category], BalanceBudget0951566166717681[[#This Row],[Category]]) -
SUMIFS(Transactions02[Projected (EUR)], Transactions02[Type], "&lt;&gt;Income", Transactions02[Category], BalanceBudget0951566166717681[[#This Row],[Category]])</calculatedColumnFormula>
    </tableColumn>
    <tableColumn id="3" xr3:uid="{7140CF8F-36F5-7243-A669-C02FC0E7C607}" name="Actual" totalsRowFunction="sum" dataDxfId="26" totalsRowDxfId="506">
      <calculatedColumnFormula xml:space="preserve">
SUMIFS(Budget0949545964697479[Actual], Budget0949545964697479[Category], BalanceBudget0951566166717681[[#This Row],[Category]]) -
SUMIFS(Transactions02[Actual (EUR)], Transactions02[Type], "&lt;&gt;Income", Transactions02[Category], BalanceBudget0951566166717681[[#This Row],[Category]])</calculatedColumnFormula>
    </tableColumn>
    <tableColumn id="4" xr3:uid="{22449BD3-C3A6-4B4C-B3EE-307E54BB2F8D}" name="Difference" totalsRowFunction="sum" dataDxfId="25" totalsRowDxfId="505">
      <calculatedColumnFormula>BalanceBudget0951566166717681[[#This Row],[Actual]] - BalanceBudget0951566166717681[[#This Row],[Projected]]</calculatedColumnFormula>
    </tableColumn>
    <tableColumn id="5" xr3:uid="{21210156-7D41-504F-87DF-C0D0CBA5901C}" name="Category" totalsRowLabel="All"/>
  </tableColumns>
  <tableStyleInfo name="TableStyleMedium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20A6EE3B-9814-674B-BFBF-B7A90A07EEDC}" name="BalanceCurrency0952576267727782" displayName="BalanceCurrency0952576267727782" ref="A21:D27" totalsRowShown="0">
  <autoFilter ref="A21:D27" xr:uid="{A84D0160-C5B3-4C85-92A8-EE4858CA89D3}"/>
  <tableColumns count="4">
    <tableColumn id="1" xr3:uid="{7012EBE9-CE13-F94D-AAE9-B1CF1351D74D}" name="Currency"/>
    <tableColumn id="2" xr3:uid="{AC402123-46B4-944F-8A1D-D960F624A79B}" name="Projected" dataDxfId="24">
      <calculatedColumnFormula xml:space="preserve">
SUMIFS(Transactions02[Projected], Transactions02[Currency], BalanceCurrency0952576267727782[[#This Row],[Currency]], Transactions02[Type], "Income") -
SUMIFS(Transactions02[Projected], Transactions02[Currency], BalanceCurrency0952576267727782[[#This Row],[Currency]], Transactions02[Type], "&lt;&gt;Income")</calculatedColumnFormula>
    </tableColumn>
    <tableColumn id="3" xr3:uid="{9044E11E-83FD-6244-B0DE-A5414201C452}" name="Actual" dataDxfId="23">
      <calculatedColumnFormula xml:space="preserve">
SUMIFS(Transactions02[Actual], Transactions02[Currency], BalanceCurrency0952576267727782[[#This Row],[Currency]], Transactions02[Type], "Income") -
SUMIFS(Transactions02[Actual], Transactions02[Currency], BalanceCurrency0952576267727782[[#This Row],[Currency]], Transactions02[Type], "&lt;&gt;Income")</calculatedColumnFormula>
    </tableColumn>
    <tableColumn id="4" xr3:uid="{27711671-C4EA-A647-9E5A-FFE43009C18D}" name="Difference" dataDxfId="22">
      <calculatedColumnFormula>BalanceCurrency0952576267727782[[#This Row],[Actual]] - BalanceCurrency0952576267727782[[#This Row],[Projected]]</calculatedColumnFormula>
    </tableColumn>
  </tableColumns>
  <tableStyleInfo name="TableStyleMedium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4623A35-2BF5-3942-8DBF-CC801FCF1206}" name="Transactions03" displayName="Transactions03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8062C27C-FB1D-184D-9196-6DDCF39DE862}" name="Currency"/>
    <tableColumn id="5" xr3:uid="{2910391A-FB17-E044-BE30-41982237FC5D}" name="Projected" dataDxfId="61"/>
    <tableColumn id="6" xr3:uid="{9F70DB70-CD84-9846-BE84-CF1F52F1BB93}" name="Actual" dataDxfId="60"/>
    <tableColumn id="3" xr3:uid="{27DF2E7C-CE39-E141-91F4-C852D0C7FF31}" name="Difference" dataDxfId="59">
      <calculatedColumnFormula>Transactions03[[#This Row],[Actual]]-Transactions03[[#This Row],[Projected]]</calculatedColumnFormula>
    </tableColumn>
    <tableColumn id="1" xr3:uid="{14730D30-FE81-DF46-A4A2-53E2418622EF}" name="Type"/>
    <tableColumn id="8" xr3:uid="{8B1837D1-B31C-1D42-93E7-253F05CF9D8D}" name="Category"/>
    <tableColumn id="2" xr3:uid="{C6DF1D4F-4273-5E4A-A48D-86C48D474B2E}" name="Sub-category"/>
    <tableColumn id="9" xr3:uid="{A9593A3F-9978-1942-814E-384F93CBAF63}" name="Description"/>
    <tableColumn id="7" xr3:uid="{F6A72D8D-8751-2E45-A4A4-C064D5EB1490}" name="Projected (EUR)" dataDxfId="58">
      <calculatedColumnFormula array="1">CONVERT2EUR(Transactions03[[#This Row],[Currency]], Transactions03[[#This Row],[Projected]])</calculatedColumnFormula>
    </tableColumn>
    <tableColumn id="10" xr3:uid="{3DC6F2A4-3118-EC4D-92D2-75653AEFD7B8}" name="Actual (EUR)" dataDxfId="57">
      <calculatedColumnFormula array="1">CONVERT2EUR(Transactions03[[#This Row],[Currency]], Transactions03[[#This Row],[Actual]])</calculatedColumnFormula>
    </tableColumn>
    <tableColumn id="11" xr3:uid="{92A3D7B4-236D-3F4A-A9EB-7A0DA31D76E2}" name="Difference (EUR)" dataDxfId="56">
      <calculatedColumnFormula>Transactions03[[#This Row],[Actual (EUR)]] - Transactions03[[#This Row],[Projected (EUR)]]</calculatedColumnFormula>
    </tableColumn>
  </tableColumns>
  <tableStyleInfo name="TableStyleMedium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BFD48BFF-3D8E-6749-A992-A26C3156AE7D}" name="Budget09495459646974" displayName="Budget09495459646974" ref="A3:F7" totalsRowCount="1">
  <autoFilter ref="A3:F6" xr:uid="{F0794A87-15C6-41FB-830A-DCD8A580D945}"/>
  <tableColumns count="6">
    <tableColumn id="8" xr3:uid="{837F7933-16FC-7D46-B451-A3696AAC0D52}" name="Currency" totalsRowLabel="EUR" dataDxfId="65"/>
    <tableColumn id="2" xr3:uid="{7ED6D37E-7CF2-F64C-8201-64B3A0F8D59A}" name="Projected" totalsRowFunction="sum" dataDxfId="55" totalsRowDxfId="491">
      <calculatedColumnFormula xml:space="preserve"> Budget09495459646974[[#This Row],[Slice]] * SUMIFS(Transactions03[Projected (EUR)], Transactions03[Type], "Income")</calculatedColumnFormula>
    </tableColumn>
    <tableColumn id="3" xr3:uid="{D31450C1-E61D-0448-8871-76E3F1B6C4D9}" name="Actual" totalsRowFunction="sum" dataDxfId="54" totalsRowDxfId="490">
      <calculatedColumnFormula xml:space="preserve"> Budget09495459646974[[#This Row],[Slice]] * SUMIFS(Transactions03[Actual (EUR)], Transactions03[Type], "Income")</calculatedColumnFormula>
    </tableColumn>
    <tableColumn id="4" xr3:uid="{E5C5ACE4-391A-FB41-A990-AD5B5D23E9BE}" name="Difference" totalsRowFunction="sum" dataDxfId="53" totalsRowDxfId="489">
      <calculatedColumnFormula>Budget09495459646974[[#This Row],[Actual]]-Budget09495459646974[[#This Row],[Projected]]</calculatedColumnFormula>
    </tableColumn>
    <tableColumn id="6" xr3:uid="{54425AEE-C45D-574F-8905-E8F92C8506A2}" name="Category" totalsRowLabel="All" dataDxfId="64"/>
    <tableColumn id="9" xr3:uid="{E3510A01-BEC7-0445-9651-C67BB6BA5EE2}" name="Slice" totalsRowFunction="sum" dataDxfId="488" totalsRowDxfId="487"/>
  </tableColumns>
  <tableStyleInfo name="TableStyleMedium1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60A16E0F-15F9-7345-A2D4-62E253CB0D2E}" name="TransactionsSummary09505560657075" displayName="TransactionsSummary09505560657075" ref="A32:F39">
  <autoFilter ref="A32:F39" xr:uid="{713728AE-6BDD-4D46-B9B2-DD02597E5EAD}"/>
  <tableColumns count="6">
    <tableColumn id="8" xr3:uid="{79AC3EFB-2153-D54D-A614-40FD940646F2}" name="Currency" totalsRowLabel="EUR" dataDxfId="63"/>
    <tableColumn id="2" xr3:uid="{812F84A4-510C-3D4C-9ACB-A98DB5B99592}" name="Projected" totalsRowFunction="sum" dataDxfId="52" totalsRowDxfId="486">
      <calculatedColumnFormula xml:space="preserve"> SUMIFS(Transactions03[Projected (EUR)], Transactions03[Type], TransactionsSummary09505560657075[[#This Row],[Type]], Transactions03[Category], TransactionsSummary09505560657075[[#This Row],[Category]])</calculatedColumnFormula>
    </tableColumn>
    <tableColumn id="3" xr3:uid="{72335449-BF08-3A4F-B357-49FAA06A51D9}" name="Actual" totalsRowFunction="sum" dataDxfId="51">
      <calculatedColumnFormula xml:space="preserve"> SUMIFS(Transactions03[Actual (EUR)], Transactions03[Type], TransactionsSummary09505560657075[[#This Row],[Type]], Transactions03[Category], TransactionsSummary09505560657075[[#This Row],[Category]])</calculatedColumnFormula>
    </tableColumn>
    <tableColumn id="4" xr3:uid="{E94225C1-F364-FA40-8E3F-2F66293AD2A4}" name="Difference" totalsRowFunction="sum" dataDxfId="50" totalsRowDxfId="485">
      <calculatedColumnFormula>TransactionsSummary09505560657075[[#This Row],[Actual]]-TransactionsSummary09505560657075[[#This Row],[Projected]]</calculatedColumnFormula>
    </tableColumn>
    <tableColumn id="6" xr3:uid="{5A1B3133-94C8-4149-9753-E0EFA998DB0A}" name="Type" totalsRowLabel="All" dataDxfId="62"/>
    <tableColumn id="9" xr3:uid="{3DEF4CBB-99C2-764B-BAAF-BFEC890FB2ED}" name="Category" dataDxfId="484"/>
  </tableColumns>
  <tableStyleInfo name="TableStyleMedium1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DDAC7AC5-0575-F744-B6F6-F594F2CEAE5A}" name="BalanceBudget09515661667176" displayName="BalanceBudget09515661667176" ref="A12:E16" totalsRowCount="1">
  <autoFilter ref="A12:E15" xr:uid="{20B85D4C-DE74-40AD-93EF-EEC715B5DC66}"/>
  <tableColumns count="5">
    <tableColumn id="1" xr3:uid="{EE8CB0E9-92E9-BD40-A62B-35FA41C5AE0B}" name="Currency" totalsRowLabel="EUR"/>
    <tableColumn id="2" xr3:uid="{0A83ECD9-2F15-574A-B617-46A5F29C68EC}" name="Projected" totalsRowFunction="sum" dataDxfId="49" totalsRowDxfId="483">
      <calculatedColumnFormula xml:space="preserve">
SUMIFS(Budget09495459646974[Projected], Budget09495459646974[Category], BalanceBudget09515661667176[[#This Row],[Category]]) -
SUMIFS(Transactions03[Projected (EUR)], Transactions03[Type], "&lt;&gt;Income", Transactions03[Category], BalanceBudget09515661667176[[#This Row],[Category]])</calculatedColumnFormula>
    </tableColumn>
    <tableColumn id="3" xr3:uid="{429432C8-2BD9-D64F-BBE7-69BD172131FE}" name="Actual" totalsRowFunction="sum" dataDxfId="48" totalsRowDxfId="482">
      <calculatedColumnFormula xml:space="preserve">
SUMIFS(Budget09495459646974[Actual], Budget09495459646974[Category], BalanceBudget09515661667176[[#This Row],[Category]]) -
SUMIFS(Transactions03[Actual (EUR)], Transactions03[Type], "&lt;&gt;Income", Transactions03[Category], BalanceBudget09515661667176[[#This Row],[Category]])</calculatedColumnFormula>
    </tableColumn>
    <tableColumn id="4" xr3:uid="{03CABB42-CD62-4044-9584-F40E0B4D9F3B}" name="Difference" totalsRowFunction="sum" dataDxfId="47" totalsRowDxfId="481">
      <calculatedColumnFormula>BalanceBudget09515661667176[[#This Row],[Actual]] - BalanceBudget09515661667176[[#This Row],[Projected]]</calculatedColumnFormula>
    </tableColumn>
    <tableColumn id="5" xr3:uid="{FA6C3797-FABD-6B43-8F35-21F4B675FCF0}" name="Category" totalsRowLabel="All"/>
  </tableColumns>
  <tableStyleInfo name="TableStyleMedium1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C94209F1-C1BB-684F-94BA-CE6DB9D19B79}" name="BalanceCurrency09525762677277" displayName="BalanceCurrency09525762677277" ref="A21:D27" totalsRowShown="0">
  <autoFilter ref="A21:D27" xr:uid="{A84D0160-C5B3-4C85-92A8-EE4858CA89D3}"/>
  <tableColumns count="4">
    <tableColumn id="1" xr3:uid="{99F5D6CA-E5F5-0947-A274-5D7FD96CCA92}" name="Currency"/>
    <tableColumn id="2" xr3:uid="{80E31CFA-2C70-4647-992E-3BA7AC917737}" name="Projected" dataDxfId="46">
      <calculatedColumnFormula xml:space="preserve">
SUMIFS(Transactions03[Projected], Transactions03[Currency], BalanceCurrency09525762677277[[#This Row],[Currency]], Transactions03[Type], "Income") -
SUMIFS(Transactions03[Projected], Transactions03[Currency], BalanceCurrency09525762677277[[#This Row],[Currency]], Transactions03[Type], "&lt;&gt;Income")</calculatedColumnFormula>
    </tableColumn>
    <tableColumn id="3" xr3:uid="{B4CE3F8D-77BB-744B-8589-477A952D92A6}" name="Actual" dataDxfId="45">
      <calculatedColumnFormula xml:space="preserve">
SUMIFS(Transactions03[Actual], Transactions03[Currency], BalanceCurrency09525762677277[[#This Row],[Currency]], Transactions03[Type], "Income") -
SUMIFS(Transactions03[Actual], Transactions03[Currency], BalanceCurrency09525762677277[[#This Row],[Currency]], Transactions03[Type], "&lt;&gt;Income")</calculatedColumnFormula>
    </tableColumn>
    <tableColumn id="4" xr3:uid="{81B41C6B-749C-194A-9F2D-B074A47BC82B}" name="Difference" dataDxfId="44">
      <calculatedColumnFormula>BalanceCurrency09525762677277[[#This Row],[Actual]] - BalanceCurrency09525762677277[[#This Row],[Projected]]</calculatedColumnFormula>
    </tableColumn>
  </tableColumns>
  <tableStyleInfo name="TableStyleMedium1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6865018-9E52-7F48-8029-771404C778B4}" name="Transactions04" displayName="Transactions04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89DDEBA8-A524-9546-9D3F-138AFAE15C47}" name="Currency"/>
    <tableColumn id="5" xr3:uid="{979C2095-F453-C341-B1A4-C93AFDCD405A}" name="Projected" dataDxfId="83"/>
    <tableColumn id="6" xr3:uid="{3F4390A6-54A2-3F45-9A96-50653C226E82}" name="Actual" dataDxfId="82"/>
    <tableColumn id="3" xr3:uid="{3912EC35-7334-B642-8414-FA7945D69129}" name="Difference" dataDxfId="81">
      <calculatedColumnFormula>Transactions04[[#This Row],[Actual]]-Transactions04[[#This Row],[Projected]]</calculatedColumnFormula>
    </tableColumn>
    <tableColumn id="1" xr3:uid="{7B54EEC6-4217-3B47-AD8A-5E36A3066A28}" name="Type"/>
    <tableColumn id="8" xr3:uid="{B4BBDCAF-F57E-BA4C-8F55-479DF94B7E23}" name="Category"/>
    <tableColumn id="2" xr3:uid="{F0CDB2D0-3582-DE48-B6EF-0D45C65D7AFB}" name="Sub-category"/>
    <tableColumn id="9" xr3:uid="{4FC03CB6-FF22-8D4D-8782-11D78E4EE6D6}" name="Description"/>
    <tableColumn id="7" xr3:uid="{A5BC2327-3BAD-524D-8B75-956FB67338A5}" name="Projected (EUR)" dataDxfId="80">
      <calculatedColumnFormula array="1">CONVERT2EUR(Transactions04[[#This Row],[Currency]], Transactions04[[#This Row],[Projected]])</calculatedColumnFormula>
    </tableColumn>
    <tableColumn id="10" xr3:uid="{A6C1C0A0-9824-8540-92FF-46A94B226F39}" name="Actual (EUR)" dataDxfId="79">
      <calculatedColumnFormula array="1">CONVERT2EUR(Transactions04[[#This Row],[Currency]], Transactions04[[#This Row],[Actual]])</calculatedColumnFormula>
    </tableColumn>
    <tableColumn id="11" xr3:uid="{9573E9F1-8A9A-3345-8FD4-AB6A06928E8F}" name="Difference (EUR)" dataDxfId="78">
      <calculatedColumnFormula>Transactions04[[#This Row],[Actual (EUR)]] - Transactions04[[#This Row],[Projected (EUR)]]</calculatedColumnFormula>
    </tableColumn>
  </tableColumns>
  <tableStyleInfo name="TableStyleMedium1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14DA3F97-30F0-8F48-868D-E0D6BAB5782F}" name="Budget094954596469" displayName="Budget094954596469" ref="A3:F7" totalsRowCount="1">
  <autoFilter ref="A3:F6" xr:uid="{F0794A87-15C6-41FB-830A-DCD8A580D945}"/>
  <tableColumns count="6">
    <tableColumn id="8" xr3:uid="{44A1A398-1519-2944-BCCE-69970CDB7060}" name="Currency" totalsRowLabel="EUR" dataDxfId="87"/>
    <tableColumn id="2" xr3:uid="{EEAF6391-CA6B-BB49-82BC-36B04419BD23}" name="Projected" totalsRowFunction="sum" dataDxfId="77" totalsRowDxfId="467">
      <calculatedColumnFormula xml:space="preserve"> Budget094954596469[[#This Row],[Slice]] * SUMIFS(Transactions04[Projected (EUR)], Transactions04[Type], "Income")</calculatedColumnFormula>
    </tableColumn>
    <tableColumn id="3" xr3:uid="{4A847687-2D74-734B-95DB-4F25E16B46FF}" name="Actual" totalsRowFunction="sum" dataDxfId="76" totalsRowDxfId="466">
      <calculatedColumnFormula xml:space="preserve"> Budget094954596469[[#This Row],[Slice]] * SUMIFS(Transactions04[Actual (EUR)], Transactions04[Type], "Income")</calculatedColumnFormula>
    </tableColumn>
    <tableColumn id="4" xr3:uid="{B9660C19-2912-BA4C-BACF-C6CD806CF6DE}" name="Difference" totalsRowFunction="sum" dataDxfId="75" totalsRowDxfId="465">
      <calculatedColumnFormula>Budget094954596469[[#This Row],[Actual]]-Budget094954596469[[#This Row],[Projected]]</calculatedColumnFormula>
    </tableColumn>
    <tableColumn id="6" xr3:uid="{8D8C2A46-23D9-0740-AE88-BD37DE272A48}" name="Category" totalsRowLabel="All" dataDxfId="86"/>
    <tableColumn id="9" xr3:uid="{20941EE4-2028-0B46-B2EA-EB48336454DD}" name="Slice" totalsRowFunction="sum" dataDxfId="464" totalsRowDxfId="463"/>
  </tableColumns>
  <tableStyleInfo name="TableStyleMedium1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BD76522-73C6-0048-919E-6C529E09E11C}" name="TransactionsSummary095055606570" displayName="TransactionsSummary095055606570" ref="A32:F39">
  <autoFilter ref="A32:F39" xr:uid="{713728AE-6BDD-4D46-B9B2-DD02597E5EAD}"/>
  <tableColumns count="6">
    <tableColumn id="8" xr3:uid="{89C01E70-71ED-504F-A780-7655BAC10F22}" name="Currency" totalsRowLabel="EUR" dataDxfId="85"/>
    <tableColumn id="2" xr3:uid="{A9BC18E1-9C7C-AC45-AA4B-AD15D2AC7D42}" name="Projected" totalsRowFunction="sum" dataDxfId="74" totalsRowDxfId="462">
      <calculatedColumnFormula xml:space="preserve"> SUMIFS(Transactions04[Projected (EUR)], Transactions04[Type], TransactionsSummary095055606570[[#This Row],[Type]], Transactions04[Category], TransactionsSummary095055606570[[#This Row],[Category]])</calculatedColumnFormula>
    </tableColumn>
    <tableColumn id="3" xr3:uid="{F33BA6EE-EB9C-B249-9AD8-F879DEB1DD9E}" name="Actual" totalsRowFunction="sum" dataDxfId="73">
      <calculatedColumnFormula xml:space="preserve"> SUMIFS(Transactions04[Actual (EUR)], Transactions04[Type], TransactionsSummary095055606570[[#This Row],[Type]], Transactions04[Category], TransactionsSummary095055606570[[#This Row],[Category]])</calculatedColumnFormula>
    </tableColumn>
    <tableColumn id="4" xr3:uid="{1452D3D6-DC3C-D34B-9EFD-FFD7B83902B2}" name="Difference" totalsRowFunction="sum" dataDxfId="72" totalsRowDxfId="461">
      <calculatedColumnFormula>TransactionsSummary095055606570[[#This Row],[Actual]]-TransactionsSummary095055606570[[#This Row],[Projected]]</calculatedColumnFormula>
    </tableColumn>
    <tableColumn id="6" xr3:uid="{9D008112-E263-F74A-B9B0-F40147F1583D}" name="Type" totalsRowLabel="All" dataDxfId="84"/>
    <tableColumn id="9" xr3:uid="{106F4D73-7F7C-CE49-8C16-B0D78D7D5FA5}" name="Category" dataDxfId="460"/>
  </tableColumns>
  <tableStyleInfo name="TableStyleMedium1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1F4AD02-5112-8242-8AED-7751E3461D3F}" name="BalanceBudget095156616671" displayName="BalanceBudget095156616671" ref="A12:E16" totalsRowCount="1">
  <autoFilter ref="A12:E15" xr:uid="{20B85D4C-DE74-40AD-93EF-EEC715B5DC66}"/>
  <tableColumns count="5">
    <tableColumn id="1" xr3:uid="{28A84428-D527-4F49-A9F5-091147B588A6}" name="Currency" totalsRowLabel="EUR"/>
    <tableColumn id="2" xr3:uid="{17A5B43C-86C3-534B-9D7C-79226ABDBD2A}" name="Projected" totalsRowFunction="sum" dataDxfId="71" totalsRowDxfId="459">
      <calculatedColumnFormula xml:space="preserve">
SUMIFS(Budget094954596469[Projected], Budget094954596469[Category], BalanceBudget095156616671[[#This Row],[Category]]) -
SUMIFS(Transactions04[Projected (EUR)], Transactions04[Type], "&lt;&gt;Income", Transactions04[Category], BalanceBudget095156616671[[#This Row],[Category]])</calculatedColumnFormula>
    </tableColumn>
    <tableColumn id="3" xr3:uid="{6489BDA0-7C9B-A748-8281-7754D3F38CBE}" name="Actual" totalsRowFunction="sum" dataDxfId="70" totalsRowDxfId="458">
      <calculatedColumnFormula xml:space="preserve">
SUMIFS(Budget094954596469[Actual], Budget094954596469[Category], BalanceBudget095156616671[[#This Row],[Category]]) -
SUMIFS(Transactions04[Actual (EUR)], Transactions04[Type], "&lt;&gt;Income", Transactions04[Category], BalanceBudget095156616671[[#This Row],[Category]])</calculatedColumnFormula>
    </tableColumn>
    <tableColumn id="4" xr3:uid="{057E242D-E421-064E-8140-D26FFD0112D0}" name="Difference" totalsRowFunction="sum" dataDxfId="69" totalsRowDxfId="457">
      <calculatedColumnFormula>BalanceBudget095156616671[[#This Row],[Actual]] - BalanceBudget095156616671[[#This Row],[Projected]]</calculatedColumnFormula>
    </tableColumn>
    <tableColumn id="5" xr3:uid="{EFA3821A-B916-264E-9667-E324AF8145CC}" name="Category" totalsRowLabel="All"/>
  </tableColumns>
  <tableStyleInfo name="TableStyleMedium1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674CE6F-BC3C-9249-A6E0-29D4EE64D2EC}" name="BalanceCurrency095257626772" displayName="BalanceCurrency095257626772" ref="A21:D27" totalsRowShown="0">
  <autoFilter ref="A21:D27" xr:uid="{A84D0160-C5B3-4C85-92A8-EE4858CA89D3}"/>
  <tableColumns count="4">
    <tableColumn id="1" xr3:uid="{EE8B45BE-EA4D-974F-8AAA-316A2AABFB24}" name="Currency"/>
    <tableColumn id="2" xr3:uid="{6013147D-7322-3449-A2BE-477F57958CA8}" name="Projected" dataDxfId="68">
      <calculatedColumnFormula xml:space="preserve">
SUMIFS(Transactions04[Projected], Transactions04[Currency], BalanceCurrency095257626772[[#This Row],[Currency]], Transactions04[Type], "Income") -
SUMIFS(Transactions04[Projected], Transactions04[Currency], BalanceCurrency095257626772[[#This Row],[Currency]], Transactions04[Type], "&lt;&gt;Income")</calculatedColumnFormula>
    </tableColumn>
    <tableColumn id="3" xr3:uid="{339D3E1C-279D-FA42-80C0-D7B66A6F3DA1}" name="Actual" dataDxfId="67">
      <calculatedColumnFormula xml:space="preserve">
SUMIFS(Transactions04[Actual], Transactions04[Currency], BalanceCurrency095257626772[[#This Row],[Currency]], Transactions04[Type], "Income") -
SUMIFS(Transactions04[Actual], Transactions04[Currency], BalanceCurrency095257626772[[#This Row],[Currency]], Transactions04[Type], "&lt;&gt;Income")</calculatedColumnFormula>
    </tableColumn>
    <tableColumn id="4" xr3:uid="{30C64231-D4C5-B346-9286-0C325A8F79B9}" name="Difference" dataDxfId="66">
      <calculatedColumnFormula>BalanceCurrency095257626772[[#This Row],[Actual]] - BalanceCurrency095257626772[[#This Row],[Projected]]</calculatedColumnFormula>
    </tableColumn>
  </tableColumns>
  <tableStyleInfo name="TableStyleMedium1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60709183-7793-0E4F-B5AF-E1C41A9C980F}" name="Transactions05" displayName="Transactions05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DB60CFA4-85DB-E145-B0B9-A4A415FC9E0B}" name="Currency"/>
    <tableColumn id="5" xr3:uid="{FB46253F-42DB-A149-935A-1243AFE2C928}" name="Projected" dataDxfId="105"/>
    <tableColumn id="6" xr3:uid="{0A9129E2-3653-FC4C-A596-EDA369A3D6CF}" name="Actual" dataDxfId="104"/>
    <tableColumn id="3" xr3:uid="{97546560-F897-A24E-B505-2E4B2175891B}" name="Difference" dataDxfId="103">
      <calculatedColumnFormula>Transactions05[[#This Row],[Actual]]-Transactions05[[#This Row],[Projected]]</calculatedColumnFormula>
    </tableColumn>
    <tableColumn id="1" xr3:uid="{B79AE6C5-5C1A-4346-8C33-C10C07DFC21D}" name="Type"/>
    <tableColumn id="8" xr3:uid="{62FBAC0A-3B95-C648-82EA-A089EE3D4688}" name="Category"/>
    <tableColumn id="2" xr3:uid="{A7AF822A-108D-0943-B992-4313E336685A}" name="Sub-category"/>
    <tableColumn id="9" xr3:uid="{575A7AD3-4465-BF45-8D2E-E910A5519124}" name="Description"/>
    <tableColumn id="7" xr3:uid="{7760B6C8-CC3E-2C45-B09B-C8C3276F04FE}" name="Projected (EUR)" dataDxfId="102">
      <calculatedColumnFormula array="1">CONVERT2EUR(Transactions05[[#This Row],[Currency]], Transactions05[[#This Row],[Projected]])</calculatedColumnFormula>
    </tableColumn>
    <tableColumn id="10" xr3:uid="{A5648369-EDDE-9146-B0A2-3B5D103DA7C2}" name="Actual (EUR)" dataDxfId="101">
      <calculatedColumnFormula array="1">CONVERT2EUR(Transactions05[[#This Row],[Currency]], Transactions05[[#This Row],[Actual]])</calculatedColumnFormula>
    </tableColumn>
    <tableColumn id="11" xr3:uid="{925F8C27-EAD0-7C45-9457-0F7FCF4FF81F}" name="Difference (EUR)" dataDxfId="100">
      <calculatedColumnFormula>Transactions05[[#This Row],[Actual (EUR)]] - Transactions05[[#This Row],[Projected (EUR)]]</calculatedColumnFormula>
    </tableColumn>
  </tableColumns>
  <tableStyleInfo name="TableStyleMedium1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5A01EEC-A9B5-374D-B114-7B42C9ED6CDE}" name="Budget0949545964" displayName="Budget0949545964" ref="A3:F7" totalsRowCount="1">
  <autoFilter ref="A3:F6" xr:uid="{F0794A87-15C6-41FB-830A-DCD8A580D945}"/>
  <tableColumns count="6">
    <tableColumn id="8" xr3:uid="{17B9C414-6D23-004F-9AA3-52C9E0E2C7D2}" name="Currency" totalsRowLabel="EUR" dataDxfId="443"/>
    <tableColumn id="2" xr3:uid="{6770CFD4-2F03-3A4E-871D-D0D0081A131D}" name="Projected" totalsRowFunction="sum" dataDxfId="99" totalsRowDxfId="442">
      <calculatedColumnFormula xml:space="preserve"> Budget0949545964[[#This Row],[Slice]] * SUMIFS(Transactions05[Projected (EUR)], Transactions05[Type], "Income")</calculatedColumnFormula>
    </tableColumn>
    <tableColumn id="3" xr3:uid="{A2FFED8F-09A9-AB43-9ACA-9CE5BA660680}" name="Actual" totalsRowFunction="sum" dataDxfId="98" totalsRowDxfId="441">
      <calculatedColumnFormula xml:space="preserve"> Budget0949545964[[#This Row],[Slice]] * SUMIFS(Transactions05[Actual (EUR)], Transactions05[Type], "Income")</calculatedColumnFormula>
    </tableColumn>
    <tableColumn id="4" xr3:uid="{84CC1D94-D0DE-CE45-8D91-8FFEE7101DCD}" name="Difference" totalsRowFunction="sum" dataDxfId="97" totalsRowDxfId="440">
      <calculatedColumnFormula>Budget0949545964[[#This Row],[Actual]]-Budget0949545964[[#This Row],[Projected]]</calculatedColumnFormula>
    </tableColumn>
    <tableColumn id="6" xr3:uid="{3449523C-A0E4-3A4E-AAEE-6625071DFC7D}" name="Category" totalsRowLabel="All" dataDxfId="439"/>
    <tableColumn id="9" xr3:uid="{7C56B570-AE7D-8D42-B130-231840080C77}" name="Slice" totalsRowFunction="sum" dataDxfId="438" totalsRowDxfId="437"/>
  </tableColumns>
  <tableStyleInfo name="TableStyleMedium1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54CD387-73BA-D143-81A5-0822FFA78C86}" name="TransactionsSummary0950556065" displayName="TransactionsSummary0950556065" ref="A32:F39">
  <autoFilter ref="A32:F39" xr:uid="{713728AE-6BDD-4D46-B9B2-DD02597E5EAD}"/>
  <tableColumns count="6">
    <tableColumn id="8" xr3:uid="{7A7AD0C0-2CE9-384A-89BE-310D23A84396}" name="Currency" totalsRowLabel="EUR" dataDxfId="436"/>
    <tableColumn id="2" xr3:uid="{A181560D-57F5-7F43-B081-8DAD47912486}" name="Projected" totalsRowFunction="sum" dataDxfId="96" totalsRowDxfId="435">
      <calculatedColumnFormula xml:space="preserve"> SUMIFS(Transactions05[Projected (EUR)], Transactions05[Type], TransactionsSummary0950556065[[#This Row],[Type]], Transactions05[Category], TransactionsSummary0950556065[[#This Row],[Category]])</calculatedColumnFormula>
    </tableColumn>
    <tableColumn id="3" xr3:uid="{6790BB3A-7AFC-C443-BABA-C297537349C6}" name="Actual" totalsRowFunction="sum" dataDxfId="95">
      <calculatedColumnFormula xml:space="preserve"> SUMIFS(Transactions05[Actual (EUR)], Transactions05[Type], TransactionsSummary0950556065[[#This Row],[Type]], Transactions05[Category], TransactionsSummary0950556065[[#This Row],[Category]])</calculatedColumnFormula>
    </tableColumn>
    <tableColumn id="4" xr3:uid="{A590C82B-49ED-104D-A722-BD0310A15DF2}" name="Difference" totalsRowFunction="sum" dataDxfId="94" totalsRowDxfId="434">
      <calculatedColumnFormula>TransactionsSummary0950556065[[#This Row],[Actual]]-TransactionsSummary0950556065[[#This Row],[Projected]]</calculatedColumnFormula>
    </tableColumn>
    <tableColumn id="6" xr3:uid="{AEC87F6E-1BFD-CA4B-AF5C-8916ABF62801}" name="Type" totalsRowLabel="All" dataDxfId="433"/>
    <tableColumn id="9" xr3:uid="{9B145A7D-3B46-1149-BA1D-A904914AD1EC}" name="Category" dataDxfId="432"/>
  </tableColumns>
  <tableStyleInfo name="TableStyleMedium1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66CC449C-18D6-E84D-9A3A-74590032E094}" name="BalanceBudget0951566166" displayName="BalanceBudget0951566166" ref="A12:E16" totalsRowCount="1">
  <autoFilter ref="A12:E15" xr:uid="{20B85D4C-DE74-40AD-93EF-EEC715B5DC66}"/>
  <tableColumns count="5">
    <tableColumn id="1" xr3:uid="{F775BED8-E1C1-4648-9BE9-106D7A7440CC}" name="Currency" totalsRowLabel="EUR"/>
    <tableColumn id="2" xr3:uid="{0B50D404-FDB9-5249-96D2-8EF4AEF2379C}" name="Projected" totalsRowFunction="sum" dataDxfId="93" totalsRowDxfId="431">
      <calculatedColumnFormula xml:space="preserve">
SUMIFS(Budget0949545964[Projected], Budget0949545964[Category], BalanceBudget0951566166[[#This Row],[Category]]) -
SUMIFS(Transactions05[Projected (EUR)], Transactions05[Type], "&lt;&gt;Income", Transactions05[Category], BalanceBudget0951566166[[#This Row],[Category]])</calculatedColumnFormula>
    </tableColumn>
    <tableColumn id="3" xr3:uid="{0E8C846B-E774-BA4D-90CE-36B29A3182C9}" name="Actual" totalsRowFunction="sum" dataDxfId="92" totalsRowDxfId="430">
      <calculatedColumnFormula xml:space="preserve">
SUMIFS(Budget0949545964[Actual], Budget0949545964[Category], BalanceBudget0951566166[[#This Row],[Category]]) -
SUMIFS(Transactions05[Actual (EUR)], Transactions05[Type], "&lt;&gt;Income", Transactions05[Category], BalanceBudget0951566166[[#This Row],[Category]])</calculatedColumnFormula>
    </tableColumn>
    <tableColumn id="4" xr3:uid="{E8976F90-C7A3-364C-8388-43EE24FEFCF4}" name="Difference" totalsRowFunction="sum" dataDxfId="91" totalsRowDxfId="429">
      <calculatedColumnFormula>BalanceBudget0951566166[[#This Row],[Actual]] - BalanceBudget0951566166[[#This Row],[Projected]]</calculatedColumnFormula>
    </tableColumn>
    <tableColumn id="5" xr3:uid="{0BB90A0A-AC96-164E-AC1E-1417047DA159}" name="Category" totalsRowLabel="All"/>
  </tableColumns>
  <tableStyleInfo name="TableStyleMedium1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BB26C7D-DF92-E149-ABF3-9071FE6D3750}" name="BalanceCurrency0952576267" displayName="BalanceCurrency0952576267" ref="A21:D27" totalsRowShown="0">
  <autoFilter ref="A21:D27" xr:uid="{A84D0160-C5B3-4C85-92A8-EE4858CA89D3}"/>
  <tableColumns count="4">
    <tableColumn id="1" xr3:uid="{4879A874-8A58-404C-93F1-3A2D3CD94E54}" name="Currency"/>
    <tableColumn id="2" xr3:uid="{E1645BC9-2E60-4B41-8C8D-8BAF08E08D51}" name="Projected" dataDxfId="90">
      <calculatedColumnFormula xml:space="preserve">
SUMIFS(Transactions05[Projected], Transactions05[Currency], BalanceCurrency0952576267[[#This Row],[Currency]], Transactions05[Type], "Income") -
SUMIFS(Transactions05[Projected], Transactions05[Currency], BalanceCurrency0952576267[[#This Row],[Currency]], Transactions05[Type], "&lt;&gt;Income")</calculatedColumnFormula>
    </tableColumn>
    <tableColumn id="3" xr3:uid="{A77689CC-6602-104D-8E67-5B29B3170CE6}" name="Actual" dataDxfId="89">
      <calculatedColumnFormula xml:space="preserve">
SUMIFS(Transactions05[Actual], Transactions05[Currency], BalanceCurrency0952576267[[#This Row],[Currency]], Transactions05[Type], "Income") -
SUMIFS(Transactions05[Actual], Transactions05[Currency], BalanceCurrency0952576267[[#This Row],[Currency]], Transactions05[Type], "&lt;&gt;Income")</calculatedColumnFormula>
    </tableColumn>
    <tableColumn id="4" xr3:uid="{6CCF9E45-1800-B04D-858C-9595D8017A93}" name="Difference" dataDxfId="88">
      <calculatedColumnFormula>BalanceCurrency0952576267[[#This Row],[Actual]] - BalanceCurrency0952576267[[#This Row],[Projected]]</calculatedColumnFormula>
    </tableColumn>
  </tableColumns>
  <tableStyleInfo name="TableStyleMedium1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367B25D-4F9E-AA48-94EB-0FE3E220EAD4}" name="Transactions06" displayName="Transactions06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02344CE4-87C2-4046-A70C-81A997510B9C}" name="Currency"/>
    <tableColumn id="5" xr3:uid="{24CC93DC-2C4D-214C-8479-DFF69F6F2387}" name="Projected" dataDxfId="123"/>
    <tableColumn id="6" xr3:uid="{311AFDB5-265B-A24C-B44C-A8316CC57120}" name="Actual" dataDxfId="122"/>
    <tableColumn id="3" xr3:uid="{36AD7527-66F9-8744-BEAB-715754CD82C1}" name="Difference" dataDxfId="121">
      <calculatedColumnFormula>Transactions06[[#This Row],[Actual]]-Transactions06[[#This Row],[Projected]]</calculatedColumnFormula>
    </tableColumn>
    <tableColumn id="1" xr3:uid="{6CAC58C8-BCAF-8646-91B6-BB0029016987}" name="Type"/>
    <tableColumn id="8" xr3:uid="{72DA6740-8C93-F345-B372-97615A71CC6C}" name="Category"/>
    <tableColumn id="2" xr3:uid="{FDE657EC-7B9E-A844-9181-492AF738B733}" name="Sub-category"/>
    <tableColumn id="9" xr3:uid="{05552455-EA82-B446-A0EF-AF4BCCBEE1C7}" name="Description"/>
    <tableColumn id="7" xr3:uid="{7468CD61-02D9-CE40-B166-7FE797453D57}" name="Projected (EUR)" dataDxfId="120">
      <calculatedColumnFormula array="1">CONVERT2EUR(Transactions06[[#This Row],[Currency]], Transactions06[[#This Row],[Projected]])</calculatedColumnFormula>
    </tableColumn>
    <tableColumn id="10" xr3:uid="{2EDC034B-AC39-9545-99CF-2FB11E89A2A1}" name="Actual (EUR)" dataDxfId="119">
      <calculatedColumnFormula array="1">CONVERT2EUR(Transactions06[[#This Row],[Currency]], Transactions06[[#This Row],[Actual]])</calculatedColumnFormula>
    </tableColumn>
    <tableColumn id="11" xr3:uid="{A9C5DEB2-3479-E74D-8424-B1E982875732}" name="Difference (EUR)" dataDxfId="118">
      <calculatedColumnFormula>Transactions06[[#This Row],[Actual (EUR)]] - Transactions06[[#This Row],[Projected (EUR)]]</calculatedColumnFormula>
    </tableColumn>
  </tableColumns>
  <tableStyleInfo name="TableStyleMedium1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8C93D201-687D-A642-B444-E19D07B5DA03}" name="Budget09495459" displayName="Budget09495459" ref="A3:F7" totalsRowCount="1">
  <autoFilter ref="A3:F6" xr:uid="{F0794A87-15C6-41FB-830A-DCD8A580D945}"/>
  <tableColumns count="6">
    <tableColumn id="8" xr3:uid="{5FDFC238-F23B-F742-8619-5147C476F8C0}" name="Currency" totalsRowLabel="EUR" dataDxfId="127"/>
    <tableColumn id="2" xr3:uid="{C8C452CF-D948-2540-8CA2-E69BCEDD6888}" name="Projected" totalsRowFunction="sum" dataDxfId="117" totalsRowDxfId="415">
      <calculatedColumnFormula xml:space="preserve"> Budget09495459[[#This Row],[Slice]] * SUMIFS(Transactions06[Projected (EUR)], Transactions06[Type], "Income")</calculatedColumnFormula>
    </tableColumn>
    <tableColumn id="3" xr3:uid="{94A2047A-96E7-3E47-8D37-9EE0BBC03972}" name="Actual" totalsRowFunction="sum" dataDxfId="116" totalsRowDxfId="414">
      <calculatedColumnFormula xml:space="preserve"> Budget09495459[[#This Row],[Slice]] * SUMIFS(Transactions06[Actual (EUR)], Transactions06[Type], "Income")</calculatedColumnFormula>
    </tableColumn>
    <tableColumn id="4" xr3:uid="{AC7D69A4-C5BB-DE44-ADC3-E8367FD9462C}" name="Difference" totalsRowFunction="sum" dataDxfId="115" totalsRowDxfId="413">
      <calculatedColumnFormula>Budget09495459[[#This Row],[Actual]]-Budget09495459[[#This Row],[Projected]]</calculatedColumnFormula>
    </tableColumn>
    <tableColumn id="6" xr3:uid="{DF902693-7371-5547-A98C-AE1FF5901420}" name="Category" totalsRowLabel="All" dataDxfId="126"/>
    <tableColumn id="9" xr3:uid="{F48AAE95-4E26-FE4D-A807-A246A8587EEA}" name="Slice" totalsRowFunction="sum" dataDxfId="412" totalsRowDxfId="411"/>
  </tableColumns>
  <tableStyleInfo name="TableStyleMedium1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5F98079B-AE6C-7343-856B-E2DE5A1E9CDF}" name="TransactionsSummary09505560" displayName="TransactionsSummary09505560" ref="A32:F39">
  <autoFilter ref="A32:F39" xr:uid="{713728AE-6BDD-4D46-B9B2-DD02597E5EAD}"/>
  <tableColumns count="6">
    <tableColumn id="8" xr3:uid="{AF7D1CA4-0F15-F443-AC44-EFB6D9B94465}" name="Currency" totalsRowLabel="EUR" dataDxfId="125"/>
    <tableColumn id="2" xr3:uid="{09D1B5A0-92A9-6A4B-BCF3-A25094776323}" name="Projected" totalsRowFunction="sum" dataDxfId="114" totalsRowDxfId="410">
      <calculatedColumnFormula xml:space="preserve"> SUMIFS(Transactions06[Projected (EUR)], Transactions06[Type], TransactionsSummary09505560[[#This Row],[Type]], Transactions06[Category], TransactionsSummary09505560[[#This Row],[Category]])</calculatedColumnFormula>
    </tableColumn>
    <tableColumn id="3" xr3:uid="{FEA5E14F-C126-9741-87A8-82A651E7C461}" name="Actual" totalsRowFunction="sum" dataDxfId="113">
      <calculatedColumnFormula xml:space="preserve"> SUMIFS(Transactions06[Actual (EUR)], Transactions06[Type], TransactionsSummary09505560[[#This Row],[Type]], Transactions06[Category], TransactionsSummary09505560[[#This Row],[Category]])</calculatedColumnFormula>
    </tableColumn>
    <tableColumn id="4" xr3:uid="{D3A1E03D-BF61-3D46-B045-CEF7A2900FA5}" name="Difference" totalsRowFunction="sum" dataDxfId="112" totalsRowDxfId="409">
      <calculatedColumnFormula>TransactionsSummary09505560[[#This Row],[Actual]]-TransactionsSummary09505560[[#This Row],[Projected]]</calculatedColumnFormula>
    </tableColumn>
    <tableColumn id="6" xr3:uid="{AD9B8A51-C1B6-AB42-973D-477E9FACD1A8}" name="Type" totalsRowLabel="All" dataDxfId="124"/>
    <tableColumn id="9" xr3:uid="{178621B7-EE60-A443-91A6-806CC4A95683}" name="Category" dataDxfId="408"/>
  </tableColumns>
  <tableStyleInfo name="TableStyleMedium1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DBBB3479-680F-6E42-9291-68142810152F}" name="BalanceBudget09515661" displayName="BalanceBudget09515661" ref="A12:E16" totalsRowCount="1">
  <autoFilter ref="A12:E15" xr:uid="{20B85D4C-DE74-40AD-93EF-EEC715B5DC66}"/>
  <tableColumns count="5">
    <tableColumn id="1" xr3:uid="{43B23434-B3E9-1444-A1FB-440FC8029C80}" name="Currency" totalsRowLabel="EUR"/>
    <tableColumn id="2" xr3:uid="{5AA986BC-0496-3D45-85C1-93452F998FB4}" name="Projected" totalsRowFunction="sum" dataDxfId="111" totalsRowDxfId="407">
      <calculatedColumnFormula xml:space="preserve">
SUMIFS(Budget09495459[Projected], Budget09495459[Category], BalanceBudget09515661[[#This Row],[Category]]) -
SUMIFS(Transactions06[Projected (EUR)], Transactions06[Type], "&lt;&gt;Income", Transactions06[Category], BalanceBudget09515661[[#This Row],[Category]])</calculatedColumnFormula>
    </tableColumn>
    <tableColumn id="3" xr3:uid="{EE9DF812-5174-CF41-81AF-99D298F15DF1}" name="Actual" totalsRowFunction="sum" dataDxfId="110" totalsRowDxfId="406">
      <calculatedColumnFormula xml:space="preserve">
SUMIFS(Budget09495459[Actual], Budget09495459[Category], BalanceBudget09515661[[#This Row],[Category]]) -
SUMIFS(Transactions06[Actual (EUR)], Transactions06[Type], "&lt;&gt;Income", Transactions06[Category], BalanceBudget09515661[[#This Row],[Category]])</calculatedColumnFormula>
    </tableColumn>
    <tableColumn id="4" xr3:uid="{F4588F76-3916-4F4C-9098-5D83D9726C8B}" name="Difference" totalsRowFunction="sum" dataDxfId="109" totalsRowDxfId="405">
      <calculatedColumnFormula>BalanceBudget09515661[[#This Row],[Actual]] - BalanceBudget09515661[[#This Row],[Projected]]</calculatedColumnFormula>
    </tableColumn>
    <tableColumn id="5" xr3:uid="{86DB6CAE-D8D1-4548-B692-12F25BCC7669}" name="Category" totalsRowLabel="All"/>
  </tableColumns>
  <tableStyleInfo name="TableStyleMedium1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92CB5183-5D22-E24C-968E-F5856CCAC875}" name="BalanceCurrency09525762" displayName="BalanceCurrency09525762" ref="A21:D27" totalsRowShown="0">
  <autoFilter ref="A21:D27" xr:uid="{A84D0160-C5B3-4C85-92A8-EE4858CA89D3}"/>
  <tableColumns count="4">
    <tableColumn id="1" xr3:uid="{C9FCCC89-FA97-E14D-82D2-9B0B8C1CB180}" name="Currency"/>
    <tableColumn id="2" xr3:uid="{0A9C3AA6-96AC-E644-B71A-2B2A848FF220}" name="Projected" dataDxfId="108">
      <calculatedColumnFormula xml:space="preserve">
SUMIFS(Transactions06[Projected], Transactions06[Currency], BalanceCurrency09525762[[#This Row],[Currency]], Transactions06[Type], "Income") -
SUMIFS(Transactions06[Projected], Transactions06[Currency], BalanceCurrency09525762[[#This Row],[Currency]], Transactions06[Type], "&lt;&gt;Income")</calculatedColumnFormula>
    </tableColumn>
    <tableColumn id="3" xr3:uid="{FF5B8195-4097-F847-8C14-6E15FC420129}" name="Actual" dataDxfId="107">
      <calculatedColumnFormula xml:space="preserve">
SUMIFS(Transactions06[Actual], Transactions06[Currency], BalanceCurrency09525762[[#This Row],[Currency]], Transactions06[Type], "Income") -
SUMIFS(Transactions06[Actual], Transactions06[Currency], BalanceCurrency09525762[[#This Row],[Currency]], Transactions06[Type], "&lt;&gt;Income")</calculatedColumnFormula>
    </tableColumn>
    <tableColumn id="4" xr3:uid="{202B01C8-AA30-D149-9D8E-2FCCCC28A76E}" name="Difference" dataDxfId="106">
      <calculatedColumnFormula>BalanceCurrency09525762[[#This Row],[Actual]] - BalanceCurrency09525762[[#This Row],[Projected]]</calculatedColumnFormula>
    </tableColumn>
  </tableColumns>
  <tableStyleInfo name="TableStyleMedium1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F0D2F668-D51A-C444-854E-330B87F98F4B}" name="Transactions07" displayName="Transactions07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FB2A73FF-8313-FB43-996F-2885C75321F0}" name="Currency"/>
    <tableColumn id="5" xr3:uid="{3D747C5D-9EA4-9144-B9B5-A0FCB5BC7395}" name="Projected" dataDxfId="145"/>
    <tableColumn id="6" xr3:uid="{4C567DBC-ADA1-6444-AB5E-28CF5D23CB74}" name="Actual" dataDxfId="144"/>
    <tableColumn id="3" xr3:uid="{6B0344E1-3745-8F4C-B3D5-A5D0EAB00390}" name="Difference" dataDxfId="143">
      <calculatedColumnFormula>Transactions07[[#This Row],[Actual]]-Transactions07[[#This Row],[Projected]]</calculatedColumnFormula>
    </tableColumn>
    <tableColumn id="1" xr3:uid="{5B9C5854-727F-CE44-B47A-8AEFFBA86A9F}" name="Type"/>
    <tableColumn id="8" xr3:uid="{BB42D434-4792-0E4A-87E1-C30D425CE277}" name="Category"/>
    <tableColumn id="2" xr3:uid="{3F5DEFC2-F45F-3E42-90D6-ADBCF2B6D574}" name="Sub-category"/>
    <tableColumn id="9" xr3:uid="{7FA0A4C7-E3D4-3D43-ADD2-74EE65392B9A}" name="Description"/>
    <tableColumn id="7" xr3:uid="{F2299CA1-3FE7-7147-B4ED-3EC06238ECC3}" name="Projected (EUR)" dataDxfId="142">
      <calculatedColumnFormula array="1">CONVERT2EUR(Transactions07[[#This Row],[Currency]], Transactions07[[#This Row],[Projected]])</calculatedColumnFormula>
    </tableColumn>
    <tableColumn id="10" xr3:uid="{79C7DD53-2FEE-8F4D-9CDE-8E03128303D8}" name="Actual (EUR)" dataDxfId="141">
      <calculatedColumnFormula array="1">CONVERT2EUR(Transactions07[[#This Row],[Currency]], Transactions07[[#This Row],[Actual]])</calculatedColumnFormula>
    </tableColumn>
    <tableColumn id="11" xr3:uid="{775A7278-313D-C246-AA6A-1370E77993DE}" name="Difference (EUR)" dataDxfId="140">
      <calculatedColumnFormula>Transactions07[[#This Row],[Actual (EUR)]] - Transactions07[[#This Row],[Projected (EUR)]]</calculatedColumnFormula>
    </tableColumn>
  </tableColumns>
  <tableStyleInfo name="TableStyleMedium1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3150924-D2B9-C849-8B65-E7BE9F4BF38C}" name="Budget094954" displayName="Budget094954" ref="A3:F7" totalsRowCount="1">
  <autoFilter ref="A3:F6" xr:uid="{F0794A87-15C6-41FB-830A-DCD8A580D945}"/>
  <tableColumns count="6">
    <tableColumn id="8" xr3:uid="{127BE267-F26D-914D-B126-0336F6ECB0D6}" name="Currency" totalsRowLabel="EUR" dataDxfId="149"/>
    <tableColumn id="2" xr3:uid="{08C1146D-879B-F34D-8C6D-89D18936E820}" name="Projected" totalsRowFunction="sum" dataDxfId="139" totalsRowDxfId="391">
      <calculatedColumnFormula xml:space="preserve"> Budget094954[[#This Row],[Slice]] * SUMIFS(Transactions07[Projected (EUR)], Transactions07[Type], "Income")</calculatedColumnFormula>
    </tableColumn>
    <tableColumn id="3" xr3:uid="{E30465B9-C05D-B34D-A5B5-971D2C86CE3C}" name="Actual" totalsRowFunction="sum" dataDxfId="138" totalsRowDxfId="390">
      <calculatedColumnFormula xml:space="preserve"> Budget094954[[#This Row],[Slice]] * SUMIFS(Transactions07[Actual (EUR)], Transactions07[Type], "Income")</calculatedColumnFormula>
    </tableColumn>
    <tableColumn id="4" xr3:uid="{A27F3625-9997-614E-A88D-A1CB30CF232D}" name="Difference" totalsRowFunction="sum" dataDxfId="137" totalsRowDxfId="389">
      <calculatedColumnFormula>Budget094954[[#This Row],[Actual]]-Budget094954[[#This Row],[Projected]]</calculatedColumnFormula>
    </tableColumn>
    <tableColumn id="6" xr3:uid="{0C841D66-A136-6443-81BE-7F87EB66999B}" name="Category" totalsRowLabel="All" dataDxfId="148"/>
    <tableColumn id="9" xr3:uid="{2E2189FD-D20D-8A41-ADCB-532CEF090B21}" name="Slice" totalsRowFunction="sum" dataDxfId="388" totalsRowDxfId="387"/>
  </tableColumns>
  <tableStyleInfo name="TableStyleMedium1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956E1B2C-A159-9749-95BA-ED029286186D}" name="TransactionsSummary095055" displayName="TransactionsSummary095055" ref="A32:F39">
  <autoFilter ref="A32:F39" xr:uid="{713728AE-6BDD-4D46-B9B2-DD02597E5EAD}"/>
  <tableColumns count="6">
    <tableColumn id="8" xr3:uid="{747F100C-6B2D-0647-86C2-F6D9E2EEDA7C}" name="Currency" totalsRowLabel="EUR" dataDxfId="147"/>
    <tableColumn id="2" xr3:uid="{7913153B-7925-2C45-8445-769EA64D990A}" name="Projected" totalsRowFunction="sum" dataDxfId="136" totalsRowDxfId="386">
      <calculatedColumnFormula xml:space="preserve"> SUMIFS(Transactions07[Projected (EUR)], Transactions07[Type], TransactionsSummary095055[[#This Row],[Type]], Transactions07[Category], TransactionsSummary095055[[#This Row],[Category]])</calculatedColumnFormula>
    </tableColumn>
    <tableColumn id="3" xr3:uid="{D180A61C-C044-5C4B-A6C1-5D76E0E212D3}" name="Actual" totalsRowFunction="sum" dataDxfId="135">
      <calculatedColumnFormula xml:space="preserve"> SUMIFS(Transactions07[Actual (EUR)], Transactions07[Type], TransactionsSummary095055[[#This Row],[Type]], Transactions07[Category], TransactionsSummary095055[[#This Row],[Category]])</calculatedColumnFormula>
    </tableColumn>
    <tableColumn id="4" xr3:uid="{6AD772BD-7AAA-5645-A383-B68C7E37A60A}" name="Difference" totalsRowFunction="sum" dataDxfId="134" totalsRowDxfId="385">
      <calculatedColumnFormula>TransactionsSummary095055[[#This Row],[Actual]]-TransactionsSummary095055[[#This Row],[Projected]]</calculatedColumnFormula>
    </tableColumn>
    <tableColumn id="6" xr3:uid="{74CA970F-AA79-744B-9656-82D3980AF1DA}" name="Type" totalsRowLabel="All" dataDxfId="146"/>
    <tableColumn id="9" xr3:uid="{449F9C05-F7D8-2F47-9A27-C7F260344DAE}" name="Category" dataDxfId="384"/>
  </tableColumns>
  <tableStyleInfo name="TableStyleMedium1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27FD090-BB5C-7F4B-A2DC-6E2BDFB8144A}" name="BalanceBudget095156" displayName="BalanceBudget095156" ref="A12:E16" totalsRowCount="1">
  <autoFilter ref="A12:E15" xr:uid="{20B85D4C-DE74-40AD-93EF-EEC715B5DC66}"/>
  <tableColumns count="5">
    <tableColumn id="1" xr3:uid="{FE51401F-2AC3-AA4B-AF53-02C0406F81E8}" name="Currency" totalsRowLabel="EUR"/>
    <tableColumn id="2" xr3:uid="{8A02EF87-7185-2143-AE93-B2089A5966E9}" name="Projected" totalsRowFunction="sum" dataDxfId="133" totalsRowDxfId="383">
      <calculatedColumnFormula xml:space="preserve">
SUMIFS(Budget094954[Projected], Budget094954[Category], BalanceBudget095156[[#This Row],[Category]]) -
SUMIFS(Transactions07[Projected (EUR)], Transactions07[Type], "&lt;&gt;Income", Transactions07[Category], BalanceBudget095156[[#This Row],[Category]])</calculatedColumnFormula>
    </tableColumn>
    <tableColumn id="3" xr3:uid="{1378627F-42D4-734F-BBB3-8CDB4064B566}" name="Actual" totalsRowFunction="sum" dataDxfId="132" totalsRowDxfId="382">
      <calculatedColumnFormula xml:space="preserve">
SUMIFS(Budget094954[Actual], Budget094954[Category], BalanceBudget095156[[#This Row],[Category]]) -
SUMIFS(Transactions07[Actual (EUR)], Transactions07[Type], "&lt;&gt;Income", Transactions07[Category], BalanceBudget095156[[#This Row],[Category]])</calculatedColumnFormula>
    </tableColumn>
    <tableColumn id="4" xr3:uid="{90393815-B213-0B4B-BE5E-3EAAC350ECEB}" name="Difference" totalsRowFunction="sum" dataDxfId="131" totalsRowDxfId="381">
      <calculatedColumnFormula>BalanceBudget095156[[#This Row],[Actual]] - BalanceBudget095156[[#This Row],[Projected]]</calculatedColumnFormula>
    </tableColumn>
    <tableColumn id="5" xr3:uid="{8BD69DD9-F15B-BF49-A135-4333C575EF11}" name="Category" totalsRowLabel="All"/>
  </tableColumns>
  <tableStyleInfo name="TableStyleMedium1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A5413D7-4C6C-5A45-9B4A-5089D3B8F179}" name="BalanceCurrency095257" displayName="BalanceCurrency095257" ref="A21:D27" totalsRowShown="0">
  <autoFilter ref="A21:D27" xr:uid="{A84D0160-C5B3-4C85-92A8-EE4858CA89D3}"/>
  <tableColumns count="4">
    <tableColumn id="1" xr3:uid="{1598444E-D22A-9E4A-9017-496BDD38C53D}" name="Currency"/>
    <tableColumn id="2" xr3:uid="{5FF83E6F-01DF-964F-8958-F1D693955ACD}" name="Projected" dataDxfId="130">
      <calculatedColumnFormula xml:space="preserve">
SUMIFS(Transactions07[Projected], Transactions07[Currency], BalanceCurrency095257[[#This Row],[Currency]], Transactions07[Type], "Income") -
SUMIFS(Transactions07[Projected], Transactions07[Currency], BalanceCurrency095257[[#This Row],[Currency]], Transactions07[Type], "&lt;&gt;Income")</calculatedColumnFormula>
    </tableColumn>
    <tableColumn id="3" xr3:uid="{984FD741-E0DF-A144-B25B-12DDE9003B3D}" name="Actual" dataDxfId="129">
      <calculatedColumnFormula xml:space="preserve">
SUMIFS(Transactions07[Actual], Transactions07[Currency], BalanceCurrency095257[[#This Row],[Currency]], Transactions07[Type], "Income") -
SUMIFS(Transactions07[Actual], Transactions07[Currency], BalanceCurrency095257[[#This Row],[Currency]], Transactions07[Type], "&lt;&gt;Income")</calculatedColumnFormula>
    </tableColumn>
    <tableColumn id="4" xr3:uid="{F581E47F-7DBC-0943-B632-94025E6FB4CC}" name="Difference" dataDxfId="128">
      <calculatedColumnFormula>BalanceCurrency095257[[#This Row],[Actual]] - BalanceCurrency095257[[#This Row],[Projected]]</calculatedColumnFormula>
    </tableColumn>
  </tableColumns>
  <tableStyleInfo name="TableStyleMedium1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0DC6044-0807-BA44-A076-D08A370F0CE2}" name="Transactions08" displayName="Transactions08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10969419-D8D3-4D42-B5D3-B56D7FB6DEE4}" name="Currency"/>
    <tableColumn id="5" xr3:uid="{9D184EA4-4054-5648-8812-03D7B8FBF0EA}" name="Projected" dataDxfId="167"/>
    <tableColumn id="6" xr3:uid="{92765EAA-26C7-DC44-8FF7-027E403E3DF1}" name="Actual" dataDxfId="166"/>
    <tableColumn id="3" xr3:uid="{CE29B0F4-2F10-AF47-A420-94CA0757BF32}" name="Difference" dataDxfId="165">
      <calculatedColumnFormula>Transactions08[[#This Row],[Actual]]-Transactions08[[#This Row],[Projected]]</calculatedColumnFormula>
    </tableColumn>
    <tableColumn id="1" xr3:uid="{F56E0FBE-CFAA-5D4A-9751-55B2EE0D8EC9}" name="Type"/>
    <tableColumn id="8" xr3:uid="{49E570E7-BB4A-A54D-91B4-6193C293BBC2}" name="Category"/>
    <tableColumn id="2" xr3:uid="{2BF16793-C371-ED4D-8A47-A7D10832FDBC}" name="Sub-category"/>
    <tableColumn id="9" xr3:uid="{EF47FCFE-2B52-DB47-BAFD-5BB955B6B043}" name="Description"/>
    <tableColumn id="7" xr3:uid="{1839D944-B9C8-C04D-9CF4-C3573B72D346}" name="Projected (EUR)" dataDxfId="164">
      <calculatedColumnFormula array="1">CONVERT2EUR(Transactions08[[#This Row],[Currency]], Transactions08[[#This Row],[Projected]])</calculatedColumnFormula>
    </tableColumn>
    <tableColumn id="10" xr3:uid="{A890A36A-4FD2-4B43-A9ED-8C2C2A2642AB}" name="Actual (EUR)" dataDxfId="163">
      <calculatedColumnFormula array="1">CONVERT2EUR(Transactions08[[#This Row],[Currency]], Transactions08[[#This Row],[Actual]])</calculatedColumnFormula>
    </tableColumn>
    <tableColumn id="11" xr3:uid="{FEE0D1F8-2994-AA40-A17C-727378C67CD9}" name="Difference (EUR)" dataDxfId="162">
      <calculatedColumnFormula>Transactions08[[#This Row],[Actual (EUR)]] - Transactions08[[#This Row],[Projected (EUR)]]</calculatedColumnFormula>
    </tableColumn>
  </tableColumns>
  <tableStyleInfo name="TableStyleMedium1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DC6B6884-2594-254E-8E19-83881080B6AB}" name="Budget0949" displayName="Budget0949" ref="A3:F7" totalsRowCount="1">
  <autoFilter ref="A3:F6" xr:uid="{F0794A87-15C6-41FB-830A-DCD8A580D945}"/>
  <tableColumns count="6">
    <tableColumn id="8" xr3:uid="{892510C3-FBD0-0846-AF8E-F0779475CD0E}" name="Currency" totalsRowLabel="EUR" dataDxfId="171"/>
    <tableColumn id="2" xr3:uid="{EA1BD31D-4D8B-D44E-A2B0-7A699057B3B4}" name="Projected" totalsRowFunction="sum" dataDxfId="161" totalsRowDxfId="367">
      <calculatedColumnFormula xml:space="preserve"> Budget0949[[#This Row],[Slice]] * SUMIFS(Transactions08[Projected (EUR)], Transactions08[Type], "Income")</calculatedColumnFormula>
    </tableColumn>
    <tableColumn id="3" xr3:uid="{3336DB97-00C1-7842-9F9C-675C7BF9DF53}" name="Actual" totalsRowFunction="sum" dataDxfId="160" totalsRowDxfId="366">
      <calculatedColumnFormula xml:space="preserve"> Budget0949[[#This Row],[Slice]] * SUMIFS(Transactions08[Actual (EUR)], Transactions08[Type], "Income")</calculatedColumnFormula>
    </tableColumn>
    <tableColumn id="4" xr3:uid="{4D08DFEA-A9B8-4844-AA7A-BA4A856C6454}" name="Difference" totalsRowFunction="sum" dataDxfId="159" totalsRowDxfId="365">
      <calculatedColumnFormula>Budget0949[[#This Row],[Actual]]-Budget0949[[#This Row],[Projected]]</calculatedColumnFormula>
    </tableColumn>
    <tableColumn id="6" xr3:uid="{70D3B7C6-0708-2445-95FF-AE48FC1014CB}" name="Category" totalsRowLabel="All" dataDxfId="170"/>
    <tableColumn id="9" xr3:uid="{53D259C9-B216-9945-B6B4-3F2BE4042B24}" name="Slice" totalsRowFunction="sum" dataDxfId="364" totalsRowDxfId="363"/>
  </tableColumns>
  <tableStyleInfo name="TableStyleMedium1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9010BBCA-BA0C-A74E-A665-696DD37CA706}" name="TransactionsSummary0950" displayName="TransactionsSummary0950" ref="A32:F39">
  <autoFilter ref="A32:F39" xr:uid="{713728AE-6BDD-4D46-B9B2-DD02597E5EAD}"/>
  <tableColumns count="6">
    <tableColumn id="8" xr3:uid="{5BD48FC6-05E8-F544-BD86-291621052E8B}" name="Currency" totalsRowLabel="EUR" dataDxfId="169"/>
    <tableColumn id="2" xr3:uid="{CCAA6A73-0D08-FC4F-BD5C-E39F61662A9C}" name="Projected" totalsRowFunction="sum" dataDxfId="158" totalsRowDxfId="362">
      <calculatedColumnFormula xml:space="preserve"> SUMIFS(Transactions08[Projected (EUR)], Transactions08[Type], TransactionsSummary0950[[#This Row],[Type]], Transactions08[Category], TransactionsSummary0950[[#This Row],[Category]])</calculatedColumnFormula>
    </tableColumn>
    <tableColumn id="3" xr3:uid="{DFC289E1-83B1-234E-B976-656D7212D6B7}" name="Actual" totalsRowFunction="sum" dataDxfId="157">
      <calculatedColumnFormula xml:space="preserve"> SUMIFS(Transactions08[Actual (EUR)], Transactions08[Type], TransactionsSummary0950[[#This Row],[Type]], Transactions08[Category], TransactionsSummary0950[[#This Row],[Category]])</calculatedColumnFormula>
    </tableColumn>
    <tableColumn id="4" xr3:uid="{56B9A7BE-7C48-9E4A-AB62-21FEC9511239}" name="Difference" totalsRowFunction="sum" dataDxfId="156" totalsRowDxfId="361">
      <calculatedColumnFormula>TransactionsSummary0950[[#This Row],[Actual]]-TransactionsSummary0950[[#This Row],[Projected]]</calculatedColumnFormula>
    </tableColumn>
    <tableColumn id="6" xr3:uid="{3813D37C-8DAA-8048-83C9-58ADF18C0E3C}" name="Type" totalsRowLabel="All" dataDxfId="168"/>
    <tableColumn id="9" xr3:uid="{0C8C4583-7399-524E-B0F0-592DDC49E505}" name="Category" dataDxfId="360"/>
  </tableColumns>
  <tableStyleInfo name="TableStyleMedium1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F02174FD-7E23-584A-B6E2-D0B516145E92}" name="BalanceBudget0951" displayName="BalanceBudget0951" ref="A12:E16" totalsRowCount="1">
  <autoFilter ref="A12:E15" xr:uid="{20B85D4C-DE74-40AD-93EF-EEC715B5DC66}"/>
  <tableColumns count="5">
    <tableColumn id="1" xr3:uid="{87FA6761-A528-A447-9307-784D096429FC}" name="Currency" totalsRowLabel="EUR"/>
    <tableColumn id="2" xr3:uid="{3E4A5D77-CEC3-694B-ADEC-17A267BBC0CD}" name="Projected" totalsRowFunction="sum" dataDxfId="155" totalsRowDxfId="359">
      <calculatedColumnFormula xml:space="preserve">
SUMIFS(Budget0949[Projected], Budget0949[Category], BalanceBudget0951[[#This Row],[Category]]) -
SUMIFS(Transactions08[Projected (EUR)], Transactions08[Type], "&lt;&gt;Income", Transactions08[Category], BalanceBudget0951[[#This Row],[Category]])</calculatedColumnFormula>
    </tableColumn>
    <tableColumn id="3" xr3:uid="{D0E4BF05-2305-3D43-8318-E70ED85167F7}" name="Actual" totalsRowFunction="sum" dataDxfId="154" totalsRowDxfId="358">
      <calculatedColumnFormula xml:space="preserve">
SUMIFS(Budget0949[Actual], Budget0949[Category], BalanceBudget0951[[#This Row],[Category]]) -
SUMIFS(Transactions08[Actual (EUR)], Transactions08[Type], "&lt;&gt;Income", Transactions08[Category], BalanceBudget0951[[#This Row],[Category]])</calculatedColumnFormula>
    </tableColumn>
    <tableColumn id="4" xr3:uid="{12599E8B-40C0-424B-9ACC-C3912459734B}" name="Difference" totalsRowFunction="sum" dataDxfId="153" totalsRowDxfId="357">
      <calculatedColumnFormula>BalanceBudget0951[[#This Row],[Actual]] - BalanceBudget0951[[#This Row],[Projected]]</calculatedColumnFormula>
    </tableColumn>
    <tableColumn id="5" xr3:uid="{7CD4B0FC-26EB-C84E-8816-18EAAF7FBA4D}" name="Category" totalsRowLabel="All"/>
  </tableColumns>
  <tableStyleInfo name="TableStyleMedium1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F95152C-6DD5-9349-990E-521057450EDE}" name="BalanceCurrency0952" displayName="BalanceCurrency0952" ref="A21:D27" totalsRowShown="0">
  <autoFilter ref="A21:D27" xr:uid="{A84D0160-C5B3-4C85-92A8-EE4858CA89D3}"/>
  <tableColumns count="4">
    <tableColumn id="1" xr3:uid="{F648B399-2CE6-584D-9AA9-99401DF7F8D7}" name="Currency"/>
    <tableColumn id="2" xr3:uid="{9EFC7167-3FC8-B346-8408-DC70EAEF1BB0}" name="Projected" dataDxfId="152">
      <calculatedColumnFormula xml:space="preserve">
SUMIFS(Transactions08[Projected], Transactions08[Currency], BalanceCurrency0952[[#This Row],[Currency]], Transactions08[Type], "Income") -
SUMIFS(Transactions08[Projected], Transactions08[Currency], BalanceCurrency0952[[#This Row],[Currency]], Transactions08[Type], "&lt;&gt;Income")</calculatedColumnFormula>
    </tableColumn>
    <tableColumn id="3" xr3:uid="{D65308D8-29B6-D347-BFA4-B307101D7C31}" name="Actual" dataDxfId="151">
      <calculatedColumnFormula xml:space="preserve">
SUMIFS(Transactions08[Actual], Transactions08[Currency], BalanceCurrency0952[[#This Row],[Currency]], Transactions08[Type], "Income") -
SUMIFS(Transactions08[Actual], Transactions08[Currency], BalanceCurrency0952[[#This Row],[Currency]], Transactions08[Type], "&lt;&gt;Income")</calculatedColumnFormula>
    </tableColumn>
    <tableColumn id="4" xr3:uid="{5E3AF3C2-74D5-B34B-AE36-9264D1783C3D}" name="Difference" dataDxfId="150">
      <calculatedColumnFormula>BalanceCurrency0952[[#This Row],[Actual]] - BalanceCurrency0952[[#This Row],[Projected]]</calculatedColumnFormula>
    </tableColumn>
  </tableColumns>
  <tableStyleInfo name="TableStyleMedium1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A3294BC0-F76C-8A48-B753-5B4F64B26CB7}" name="Transactions09" displayName="Transactions09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CC51BCAD-C919-E44D-A079-6C7E38431D66}" name="Currency"/>
    <tableColumn id="5" xr3:uid="{3E88F30E-0DD8-5D4D-B3F1-E6BEBB63EE45}" name="Projected" dataDxfId="189"/>
    <tableColumn id="6" xr3:uid="{B5D4297B-A894-D747-A1D3-BEA76E2B6E78}" name="Actual" dataDxfId="188"/>
    <tableColumn id="3" xr3:uid="{D3250577-803B-9149-B141-7A648D86AB3D}" name="Difference" dataDxfId="187">
      <calculatedColumnFormula>Transactions09[[#This Row],[Actual]]-Transactions09[[#This Row],[Projected]]</calculatedColumnFormula>
    </tableColumn>
    <tableColumn id="1" xr3:uid="{D9A51522-AD51-684B-A719-9A0E11EE5E8D}" name="Type"/>
    <tableColumn id="8" xr3:uid="{898EE296-E5D4-504E-8467-F1819529AA6E}" name="Category"/>
    <tableColumn id="2" xr3:uid="{E8D0F214-8F57-1048-BE43-F151786E2AD7}" name="Sub-category"/>
    <tableColumn id="9" xr3:uid="{E7DD4CCF-EA0E-5345-9B43-C9EFB89EF76B}" name="Description"/>
    <tableColumn id="7" xr3:uid="{186EDD4C-13D6-FA42-B881-86684B0F1792}" name="Projected (EUR)" dataDxfId="186">
      <calculatedColumnFormula array="1">CONVERT2EUR(Transactions09[[#This Row],[Currency]], Transactions09[[#This Row],[Projected]])</calculatedColumnFormula>
    </tableColumn>
    <tableColumn id="10" xr3:uid="{093C0065-17D8-0040-BDB3-CA1FB7417208}" name="Actual (EUR)" dataDxfId="185">
      <calculatedColumnFormula array="1">CONVERT2EUR(Transactions09[[#This Row],[Currency]], Transactions09[[#This Row],[Actual]])</calculatedColumnFormula>
    </tableColumn>
    <tableColumn id="11" xr3:uid="{3BB436F1-F39D-5F4F-897A-90FB89D32F3C}" name="Difference (EUR)" dataDxfId="184">
      <calculatedColumnFormula>Transactions09[[#This Row],[Actual (EUR)]] - Transactions09[[#This Row],[Projected (EUR)]]</calculatedColumnFormula>
    </tableColumn>
  </tableColumns>
  <tableStyleInfo name="TableStyleMedium1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6541A69-9CF2-A74A-A9B2-8ACB85663636}" name="Budget09" displayName="Budget09" ref="A3:F7" totalsRowCount="1">
  <autoFilter ref="A3:F6" xr:uid="{F0794A87-15C6-41FB-830A-DCD8A580D945}"/>
  <tableColumns count="6">
    <tableColumn id="8" xr3:uid="{E670105D-5013-C345-BC5A-360FAB571B87}" name="Currency" totalsRowLabel="EUR" dataDxfId="193"/>
    <tableColumn id="2" xr3:uid="{77E6C81F-F2D1-D342-AF33-005F522AFF17}" name="Projected" totalsRowFunction="sum" dataDxfId="183" totalsRowDxfId="343">
      <calculatedColumnFormula xml:space="preserve"> Budget09[[#This Row],[Slice]] * SUMIFS(Transactions09[Projected (EUR)], Transactions09[Type], "Income")</calculatedColumnFormula>
    </tableColumn>
    <tableColumn id="3" xr3:uid="{EB97680E-8D59-2949-853D-699BCE240CD7}" name="Actual" totalsRowFunction="sum" dataDxfId="182" totalsRowDxfId="342">
      <calculatedColumnFormula xml:space="preserve"> Budget09[[#This Row],[Slice]] * SUMIFS(Transactions09[Actual (EUR)], Transactions09[Type], "Income")</calculatedColumnFormula>
    </tableColumn>
    <tableColumn id="4" xr3:uid="{55A638DD-4166-FF47-9F7C-F2C054460EB1}" name="Difference" totalsRowFunction="sum" dataDxfId="181" totalsRowDxfId="341">
      <calculatedColumnFormula>Budget09[[#This Row],[Actual]]-Budget09[[#This Row],[Projected]]</calculatedColumnFormula>
    </tableColumn>
    <tableColumn id="6" xr3:uid="{B4D98DCF-E9AB-AF4E-A14F-C00D11E0FB76}" name="Category" totalsRowLabel="All" dataDxfId="192"/>
    <tableColumn id="9" xr3:uid="{B8A9172F-9BCF-9D4B-A05A-C802390EE6A0}" name="Slice" totalsRowFunction="sum" dataDxfId="340" totalsRowDxfId="339"/>
  </tableColumns>
  <tableStyleInfo name="TableStyleMedium1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847B0A90-7EA0-7342-94DF-6C0C361D9582}" name="TransactionsSummary09" displayName="TransactionsSummary09" ref="A32:F39">
  <autoFilter ref="A32:F39" xr:uid="{713728AE-6BDD-4D46-B9B2-DD02597E5EAD}"/>
  <tableColumns count="6">
    <tableColumn id="8" xr3:uid="{F0A847E5-863D-2846-86D6-B895FE968D4D}" name="Currency" totalsRowLabel="EUR" dataDxfId="191"/>
    <tableColumn id="2" xr3:uid="{341CBD34-30C9-324F-84C8-EC7C03E09836}" name="Projected" totalsRowFunction="sum" dataDxfId="180" totalsRowDxfId="338">
      <calculatedColumnFormula xml:space="preserve"> SUMIFS(Transactions09[Projected (EUR)], Transactions09[Type], TransactionsSummary09[[#This Row],[Type]], Transactions09[Category], TransactionsSummary09[[#This Row],[Category]])</calculatedColumnFormula>
    </tableColumn>
    <tableColumn id="3" xr3:uid="{050C6CF5-D2F1-4241-BB24-E212BCC89DDF}" name="Actual" totalsRowFunction="sum" dataDxfId="179">
      <calculatedColumnFormula xml:space="preserve"> SUMIFS(Transactions09[Actual (EUR)], Transactions09[Type], TransactionsSummary09[[#This Row],[Type]], Transactions09[Category], TransactionsSummary09[[#This Row],[Category]])</calculatedColumnFormula>
    </tableColumn>
    <tableColumn id="4" xr3:uid="{0DF24B1B-0BB7-E84B-937E-808192C3666A}" name="Difference" totalsRowFunction="sum" dataDxfId="178" totalsRowDxfId="337">
      <calculatedColumnFormula>TransactionsSummary09[[#This Row],[Actual]]-TransactionsSummary09[[#This Row],[Projected]]</calculatedColumnFormula>
    </tableColumn>
    <tableColumn id="6" xr3:uid="{15B74454-6CA0-E84C-962F-D74E3C338A68}" name="Type" totalsRowLabel="All" dataDxfId="190"/>
    <tableColumn id="9" xr3:uid="{77D7892E-F1D9-A344-A28F-8539480251F0}" name="Category" dataDxfId="336"/>
  </tableColumns>
  <tableStyleInfo name="TableStyleMedium1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09AA810-E3B1-C949-A98B-9DCE9A126F9F}" name="BalanceBudget09" displayName="BalanceBudget09" ref="A12:E16" totalsRowCount="1">
  <autoFilter ref="A12:E15" xr:uid="{20B85D4C-DE74-40AD-93EF-EEC715B5DC66}"/>
  <tableColumns count="5">
    <tableColumn id="1" xr3:uid="{4D7AE174-B13E-3149-BE9E-81B130D91425}" name="Currency" totalsRowLabel="EUR"/>
    <tableColumn id="2" xr3:uid="{F628B6C5-B5CF-D142-BFBA-525BC34618AB}" name="Projected" totalsRowFunction="sum" dataDxfId="177" totalsRowDxfId="335">
      <calculatedColumnFormula xml:space="preserve">
SUMIFS(Budget09[Projected], Budget09[Category], BalanceBudget09[[#This Row],[Category]]) -
SUMIFS(Transactions09[Projected (EUR)], Transactions09[Type], "&lt;&gt;Income", Transactions09[Category], BalanceBudget09[[#This Row],[Category]])</calculatedColumnFormula>
    </tableColumn>
    <tableColumn id="3" xr3:uid="{8F4AF1F3-1109-2F43-83B0-4C52E8480D4D}" name="Actual" totalsRowFunction="sum" dataDxfId="176" totalsRowDxfId="334">
      <calculatedColumnFormula xml:space="preserve">
SUMIFS(Budget09[Actual], Budget09[Category], BalanceBudget09[[#This Row],[Category]]) -
SUMIFS(Transactions09[Actual (EUR)], Transactions09[Type], "&lt;&gt;Income", Transactions09[Category], BalanceBudget09[[#This Row],[Category]])</calculatedColumnFormula>
    </tableColumn>
    <tableColumn id="4" xr3:uid="{BC601CAD-B60D-434F-9208-DD34394BBA50}" name="Difference" totalsRowFunction="sum" dataDxfId="175" totalsRowDxfId="333">
      <calculatedColumnFormula>BalanceBudget09[[#This Row],[Actual]] - BalanceBudget09[[#This Row],[Projected]]</calculatedColumnFormula>
    </tableColumn>
    <tableColumn id="5" xr3:uid="{37482968-B3DD-F341-A00E-E30E64BAFEB0}" name="Category" totalsRowLabel="All"/>
  </tableColumns>
  <tableStyleInfo name="TableStyleMedium1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C6B2258-8240-3241-B165-220C7451CD3B}" name="BalanceCurrency09" displayName="BalanceCurrency09" ref="A21:D27" totalsRowShown="0">
  <autoFilter ref="A21:D27" xr:uid="{A84D0160-C5B3-4C85-92A8-EE4858CA89D3}"/>
  <tableColumns count="4">
    <tableColumn id="1" xr3:uid="{79A3B4D7-F059-7E45-AC9F-2D093479F7F9}" name="Currency"/>
    <tableColumn id="2" xr3:uid="{EA7F9183-A73E-6C4C-84E2-4E28300A9CD4}" name="Projected" dataDxfId="174">
      <calculatedColumnFormula xml:space="preserve">
SUMIFS(Transactions09[Projected], Transactions09[Currency], BalanceCurrency09[[#This Row],[Currency]], Transactions09[Type], "Income") -
SUMIFS(Transactions09[Projected], Transactions09[Currency], BalanceCurrency09[[#This Row],[Currency]], Transactions09[Type], "&lt;&gt;Income")</calculatedColumnFormula>
    </tableColumn>
    <tableColumn id="3" xr3:uid="{B43EB3ED-4779-E349-BD29-CA488D718DDE}" name="Actual" dataDxfId="173">
      <calculatedColumnFormula xml:space="preserve">
SUMIFS(Transactions09[Actual], Transactions09[Currency], BalanceCurrency09[[#This Row],[Currency]], Transactions09[Type], "Income") -
SUMIFS(Transactions09[Actual], Transactions09[Currency], BalanceCurrency09[[#This Row],[Currency]], Transactions09[Type], "&lt;&gt;Income")</calculatedColumnFormula>
    </tableColumn>
    <tableColumn id="4" xr3:uid="{475B5718-E436-BE4C-8F39-B66BA2A05B14}" name="Difference" dataDxfId="172">
      <calculatedColumnFormula>BalanceCurrency09[[#This Row],[Actual]] - BalanceCurrency09[[#This Row],[Projected]]</calculatedColumnFormula>
    </tableColumn>
  </tableColumns>
  <tableStyleInfo name="TableStyleMedium1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C490924-A4DD-8142-8D6B-4BAE413B57ED}" name="Transactions10" displayName="Transactions10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2BD25208-BCDC-C345-B69C-781A2959C826}" name="Currency"/>
    <tableColumn id="5" xr3:uid="{1778BE41-1027-A740-8359-04518133D347}" name="Projected" dataDxfId="211"/>
    <tableColumn id="6" xr3:uid="{D2EBB2CF-AAF7-5D4F-90BC-D5B866FD5005}" name="Actual" dataDxfId="210"/>
    <tableColumn id="3" xr3:uid="{897834E5-D239-7D4B-9A3E-CE514EC054C7}" name="Difference" dataDxfId="209">
      <calculatedColumnFormula>Transactions10[[#This Row],[Actual]]-Transactions10[[#This Row],[Projected]]</calculatedColumnFormula>
    </tableColumn>
    <tableColumn id="1" xr3:uid="{3756406E-0280-2041-B9EE-202FF88BFFBF}" name="Type"/>
    <tableColumn id="8" xr3:uid="{E2FB6C16-74A0-7F40-B475-41A381902BE3}" name="Category"/>
    <tableColumn id="2" xr3:uid="{04C3F101-A9CD-6343-9393-4BD0B390AF90}" name="Sub-category"/>
    <tableColumn id="9" xr3:uid="{BAB140B4-6CB7-0446-97E9-439C284A442C}" name="Description"/>
    <tableColumn id="7" xr3:uid="{507F1877-5A16-2E4F-B05F-C734B37F0CB7}" name="Projected (EUR)" dataDxfId="208">
      <calculatedColumnFormula array="1">CONVERT2EUR(Transactions10[[#This Row],[Currency]], Transactions10[[#This Row],[Projected]])</calculatedColumnFormula>
    </tableColumn>
    <tableColumn id="10" xr3:uid="{52317168-51A3-424F-8C96-8DAF39DF17A9}" name="Actual (EUR)" dataDxfId="207">
      <calculatedColumnFormula array="1">CONVERT2EUR(Transactions10[[#This Row],[Currency]], Transactions10[[#This Row],[Actual]])</calculatedColumnFormula>
    </tableColumn>
    <tableColumn id="11" xr3:uid="{B0041DBD-C40E-4E49-9734-D01C665A652B}" name="Difference (EUR)" dataDxfId="206">
      <calculatedColumnFormula>Transactions10[[#This Row],[Actual (EUR)]] - Transactions10[[#This Row],[Projected (EUR)]]</calculatedColumnFormula>
    </tableColumn>
  </tableColumns>
  <tableStyleInfo name="TableStyleMedium1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0B17311-AE4A-0E4C-B067-3A185DCE6B60}" name="Budget10" displayName="Budget10" ref="A3:F7" totalsRowCount="1">
  <autoFilter ref="A3:F6" xr:uid="{F0794A87-15C6-41FB-830A-DCD8A580D945}"/>
  <tableColumns count="6">
    <tableColumn id="8" xr3:uid="{BDAF7A10-7AF2-504C-87C3-16E0C1B011AD}" name="Currency" totalsRowLabel="EUR" dataDxfId="215"/>
    <tableColumn id="2" xr3:uid="{D6AD472F-85F7-AB44-9054-532220FF85E8}" name="Projected" totalsRowFunction="sum" dataDxfId="205" totalsRowDxfId="319">
      <calculatedColumnFormula xml:space="preserve"> Budget10[[#This Row],[Slice]] * SUMIFS(Transactions10[Projected (EUR)], Transactions10[Type], "Income")</calculatedColumnFormula>
    </tableColumn>
    <tableColumn id="3" xr3:uid="{63DC8DF4-22B4-5A40-A414-4E75547ADFB3}" name="Actual" totalsRowFunction="sum" dataDxfId="204" totalsRowDxfId="318">
      <calculatedColumnFormula xml:space="preserve"> Budget10[[#This Row],[Slice]] * SUMIFS(Transactions10[Actual (EUR)], Transactions10[Type], "Income")</calculatedColumnFormula>
    </tableColumn>
    <tableColumn id="4" xr3:uid="{13BB1180-5460-7C44-97AC-9EDF69DE32ED}" name="Difference" totalsRowFunction="sum" dataDxfId="203" totalsRowDxfId="317">
      <calculatedColumnFormula>Budget10[[#This Row],[Actual]]-Budget10[[#This Row],[Projected]]</calculatedColumnFormula>
    </tableColumn>
    <tableColumn id="6" xr3:uid="{77BDCF51-21D8-9A43-BC23-984E0B073D0E}" name="Category" totalsRowLabel="All" dataDxfId="214"/>
    <tableColumn id="9" xr3:uid="{81CC2A5D-C8FB-F044-A241-C7A9EFA3C663}" name="Slice" totalsRowFunction="sum" dataDxfId="316" totalsRowDxfId="315"/>
  </tableColumns>
  <tableStyleInfo name="TableStyleMedium1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AC0427A-8CF4-EF43-813C-8608C2B6D109}" name="TransactionsSummary10" displayName="TransactionsSummary10" ref="A32:F39">
  <autoFilter ref="A32:F39" xr:uid="{713728AE-6BDD-4D46-B9B2-DD02597E5EAD}"/>
  <tableColumns count="6">
    <tableColumn id="8" xr3:uid="{C4C977C3-C62F-9A42-9298-C5CFB15F8084}" name="Currency" totalsRowLabel="EUR" dataDxfId="213"/>
    <tableColumn id="2" xr3:uid="{0B464418-6D97-8348-B725-0FE82C599760}" name="Projected" totalsRowFunction="sum" dataDxfId="202" totalsRowDxfId="314">
      <calculatedColumnFormula xml:space="preserve"> SUMIFS(Transactions10[Projected (EUR)], Transactions10[Type], TransactionsSummary10[[#This Row],[Type]], Transactions10[Category], TransactionsSummary10[[#This Row],[Category]])</calculatedColumnFormula>
    </tableColumn>
    <tableColumn id="3" xr3:uid="{1E0E0475-EA50-9B42-8D76-C00761BE3D8B}" name="Actual" totalsRowFunction="sum" dataDxfId="201">
      <calculatedColumnFormula xml:space="preserve"> SUMIFS(Transactions10[Actual (EUR)], Transactions10[Type], TransactionsSummary10[[#This Row],[Type]], Transactions10[Category], TransactionsSummary10[[#This Row],[Category]])</calculatedColumnFormula>
    </tableColumn>
    <tableColumn id="4" xr3:uid="{17936074-94F2-FD45-B5A0-3084C94BE565}" name="Difference" totalsRowFunction="sum" dataDxfId="200" totalsRowDxfId="313">
      <calculatedColumnFormula>TransactionsSummary10[[#This Row],[Actual]]-TransactionsSummary10[[#This Row],[Projected]]</calculatedColumnFormula>
    </tableColumn>
    <tableColumn id="6" xr3:uid="{01E09C6C-6042-F94D-94D5-A6ECCEEECBAE}" name="Type" totalsRowLabel="All" dataDxfId="212"/>
    <tableColumn id="9" xr3:uid="{C2B10814-3872-464F-ADFE-666741D8375B}" name="Category" dataDxfId="312"/>
  </tableColumns>
  <tableStyleInfo name="TableStyleMedium1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85558F1-181A-A448-BEE2-75FA92B36BFD}" name="BalanceBudget10" displayName="BalanceBudget10" ref="A12:E16" totalsRowCount="1">
  <autoFilter ref="A12:E15" xr:uid="{20B85D4C-DE74-40AD-93EF-EEC715B5DC66}"/>
  <tableColumns count="5">
    <tableColumn id="1" xr3:uid="{79D916E3-EF3B-AB4A-8AEA-F37082E72161}" name="Currency" totalsRowLabel="EUR"/>
    <tableColumn id="2" xr3:uid="{33A87BF6-54C2-214F-8A30-94B07E24F434}" name="Projected" totalsRowFunction="sum" dataDxfId="199" totalsRowDxfId="311">
      <calculatedColumnFormula xml:space="preserve">
SUMIFS(Budget10[Projected], Budget10[Category], BalanceBudget10[[#This Row],[Category]]) -
SUMIFS(Transactions10[Projected (EUR)], Transactions10[Type], "&lt;&gt;Income", Transactions10[Category], BalanceBudget10[[#This Row],[Category]])</calculatedColumnFormula>
    </tableColumn>
    <tableColumn id="3" xr3:uid="{2F0858E2-F3EE-2F49-874A-EEBD39971521}" name="Actual" totalsRowFunction="sum" dataDxfId="198" totalsRowDxfId="310">
      <calculatedColumnFormula xml:space="preserve">
SUMIFS(Budget10[Actual], Budget10[Category], BalanceBudget10[[#This Row],[Category]]) -
SUMIFS(Transactions10[Actual (EUR)], Transactions10[Type], "&lt;&gt;Income", Transactions10[Category], BalanceBudget10[[#This Row],[Category]])</calculatedColumnFormula>
    </tableColumn>
    <tableColumn id="4" xr3:uid="{EEABDD0C-3FAE-5142-B917-B9F0E08BEDA8}" name="Difference" totalsRowFunction="sum" dataDxfId="197" totalsRowDxfId="309">
      <calculatedColumnFormula>BalanceBudget10[[#This Row],[Actual]] - BalanceBudget10[[#This Row],[Projected]]</calculatedColumnFormula>
    </tableColumn>
    <tableColumn id="5" xr3:uid="{2D6BB9B7-966A-6C42-A351-A09D6FBB951A}" name="Category" totalsRowLabel="All"/>
  </tableColumns>
  <tableStyleInfo name="TableStyleMedium1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6BD67D3B-5F73-8849-B017-4A226B54F9D7}" name="BalanceCurrency10" displayName="BalanceCurrency10" ref="A21:D27" totalsRowShown="0">
  <autoFilter ref="A21:D27" xr:uid="{A84D0160-C5B3-4C85-92A8-EE4858CA89D3}"/>
  <tableColumns count="4">
    <tableColumn id="1" xr3:uid="{E290CD4A-F1D3-7344-852D-7DF3AAD8E802}" name="Currency"/>
    <tableColumn id="2" xr3:uid="{ED102A63-1878-4247-AD1F-FC52A14666CB}" name="Projected" dataDxfId="196">
      <calculatedColumnFormula xml:space="preserve">
SUMIFS(Transactions10[Projected], Transactions10[Currency], BalanceCurrency10[[#This Row],[Currency]], Transactions10[Type], "Income") -
SUMIFS(Transactions10[Projected], Transactions10[Currency], BalanceCurrency10[[#This Row],[Currency]], Transactions10[Type], "&lt;&gt;Income")</calculatedColumnFormula>
    </tableColumn>
    <tableColumn id="3" xr3:uid="{2BEB52D0-EC64-3047-96A5-2B78644B9441}" name="Actual" dataDxfId="195">
      <calculatedColumnFormula xml:space="preserve">
SUMIFS(Transactions10[Actual], Transactions10[Currency], BalanceCurrency10[[#This Row],[Currency]], Transactions10[Type], "Income") -
SUMIFS(Transactions10[Actual], Transactions10[Currency], BalanceCurrency10[[#This Row],[Currency]], Transactions10[Type], "&lt;&gt;Income")</calculatedColumnFormula>
    </tableColumn>
    <tableColumn id="4" xr3:uid="{05938078-104C-F647-9AE8-8DAD2125529E}" name="Difference" dataDxfId="194">
      <calculatedColumnFormula>BalanceCurrency10[[#This Row],[Actual]] - BalanceCurrency10[[#This Row],[Projected]]</calculatedColumnFormula>
    </tableColumn>
  </tableColumns>
  <tableStyleInfo name="TableStyleMedium1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9E70FC8-5C75-5146-8E54-F26EA7383097}" name="Transactions11" displayName="Transactions11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A0C76BEE-F428-A142-AD04-C942923C8451}" name="Currency"/>
    <tableColumn id="5" xr3:uid="{A7176518-C907-3B46-BC9D-6D3FEC4CF37E}" name="Projected" dataDxfId="233"/>
    <tableColumn id="6" xr3:uid="{C5B8CABC-10CA-3045-8336-752311E05D68}" name="Actual" dataDxfId="232"/>
    <tableColumn id="3" xr3:uid="{510D0E1C-753A-FC46-A65F-29FE3928202B}" name="Difference" dataDxfId="231">
      <calculatedColumnFormula>Transactions11[[#This Row],[Actual]]-Transactions11[[#This Row],[Projected]]</calculatedColumnFormula>
    </tableColumn>
    <tableColumn id="1" xr3:uid="{1F8CF9A4-D888-B34B-8F59-7A22E8C91BC0}" name="Type"/>
    <tableColumn id="8" xr3:uid="{9FAE363F-3787-2B4A-A201-6F96A458E938}" name="Category"/>
    <tableColumn id="2" xr3:uid="{4BFA7EEA-4DD7-E145-B23D-2E9ACF621420}" name="Sub-category"/>
    <tableColumn id="9" xr3:uid="{AEE17514-954A-4542-92E4-5C6857ECCC19}" name="Description"/>
    <tableColumn id="7" xr3:uid="{D26B59C8-5D0E-204B-8DCF-877DF59C385A}" name="Projected (EUR)" dataDxfId="230">
      <calculatedColumnFormula array="1">CONVERT2EUR(Transactions11[[#This Row],[Currency]], Transactions11[[#This Row],[Projected]])</calculatedColumnFormula>
    </tableColumn>
    <tableColumn id="10" xr3:uid="{5B6820A3-CD1C-5D4A-97FA-405149459179}" name="Actual (EUR)" dataDxfId="229">
      <calculatedColumnFormula array="1">CONVERT2EUR(Transactions11[[#This Row],[Currency]], Transactions11[[#This Row],[Actual]])</calculatedColumnFormula>
    </tableColumn>
    <tableColumn id="11" xr3:uid="{7FBB03C6-9339-3A4F-9954-EAFBBCBD526D}" name="Difference (EUR)" dataDxfId="228">
      <calculatedColumnFormula>Transactions11[[#This Row],[Actual (EUR)]] - Transactions11[[#This Row],[Projected (EUR)]]</calculatedColumnFormula>
    </tableColumn>
  </tableColumns>
  <tableStyleInfo name="TableStyleMedium1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641437A-7D58-0743-B105-1A3562DC1DF0}" name="Budget11" displayName="Budget11" ref="A3:F7" totalsRowCount="1">
  <autoFilter ref="A3:F6" xr:uid="{F0794A87-15C6-41FB-830A-DCD8A580D945}"/>
  <tableColumns count="6">
    <tableColumn id="8" xr3:uid="{FAE056AE-9EC1-3841-846B-6FE9C08EB8FC}" name="Currency" totalsRowLabel="EUR" dataDxfId="237"/>
    <tableColumn id="2" xr3:uid="{299FB10A-F2E6-384A-B00E-10C2D0D2F372}" name="Projected" totalsRowFunction="sum" dataDxfId="227" totalsRowDxfId="295">
      <calculatedColumnFormula xml:space="preserve"> Budget11[[#This Row],[Slice]] * SUMIFS(Transactions11[Projected (EUR)], Transactions11[Type], "Income")</calculatedColumnFormula>
    </tableColumn>
    <tableColumn id="3" xr3:uid="{DF93A1E0-D7A7-3449-8426-92DA1271AF50}" name="Actual" totalsRowFunction="sum" dataDxfId="226" totalsRowDxfId="294">
      <calculatedColumnFormula xml:space="preserve"> Budget11[[#This Row],[Slice]] * SUMIFS(Transactions11[Actual (EUR)], Transactions11[Type], "Income")</calculatedColumnFormula>
    </tableColumn>
    <tableColumn id="4" xr3:uid="{4D3E7031-1E28-3943-96D5-1B3692A1FAD8}" name="Difference" totalsRowFunction="sum" dataDxfId="225" totalsRowDxfId="293">
      <calculatedColumnFormula>Budget11[[#This Row],[Actual]]-Budget11[[#This Row],[Projected]]</calculatedColumnFormula>
    </tableColumn>
    <tableColumn id="6" xr3:uid="{CDA22AC2-D6D3-9E4D-8C6C-DAD0CD5FECB6}" name="Category" totalsRowLabel="All" dataDxfId="236"/>
    <tableColumn id="9" xr3:uid="{5CE224FF-F062-E049-A5F0-C688B02B38D2}" name="Slice" totalsRowFunction="sum" dataDxfId="292" totalsRowDxfId="291"/>
  </tableColumns>
  <tableStyleInfo name="TableStyleMedium1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58A0D88-9DA3-BD4A-913F-7DC1D8B98F55}" name="TransactionsSummary11" displayName="TransactionsSummary11" ref="A32:F39">
  <autoFilter ref="A32:F39" xr:uid="{713728AE-6BDD-4D46-B9B2-DD02597E5EAD}"/>
  <tableColumns count="6">
    <tableColumn id="8" xr3:uid="{71E6D185-4024-F84E-8D71-12AB640C65E1}" name="Currency" totalsRowLabel="EUR" dataDxfId="235"/>
    <tableColumn id="2" xr3:uid="{EAF8758F-6015-5441-A10E-C91BB1BBA92E}" name="Projected" totalsRowFunction="sum" dataDxfId="224" totalsRowDxfId="290">
      <calculatedColumnFormula xml:space="preserve"> SUMIFS(Transactions11[Projected (EUR)], Transactions11[Type], TransactionsSummary11[[#This Row],[Type]], Transactions11[Category], TransactionsSummary11[[#This Row],[Category]])</calculatedColumnFormula>
    </tableColumn>
    <tableColumn id="3" xr3:uid="{1764BB4D-0B45-F24F-A867-D010663EE71E}" name="Actual" totalsRowFunction="sum" dataDxfId="223">
      <calculatedColumnFormula xml:space="preserve"> SUMIFS(Transactions11[Actual (EUR)], Transactions11[Type], TransactionsSummary11[[#This Row],[Type]], Transactions11[Category], TransactionsSummary11[[#This Row],[Category]])</calculatedColumnFormula>
    </tableColumn>
    <tableColumn id="4" xr3:uid="{EA43F2C7-C14C-BB43-8204-1567DB794C68}" name="Difference" totalsRowFunction="sum" dataDxfId="222" totalsRowDxfId="289">
      <calculatedColumnFormula>TransactionsSummary11[[#This Row],[Actual]]-TransactionsSummary11[[#This Row],[Projected]]</calculatedColumnFormula>
    </tableColumn>
    <tableColumn id="6" xr3:uid="{26D5AE3C-CBC4-DD49-8C80-1B1BCEF75172}" name="Type" totalsRowLabel="All" dataDxfId="234"/>
    <tableColumn id="9" xr3:uid="{489E1DDB-9496-2A42-A961-C246076AA327}" name="Category" dataDxfId="288"/>
  </tableColumns>
  <tableStyleInfo name="TableStyleMedium1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D5F306D-6D5E-4B47-8F3B-5CCE31434229}" name="BalanceBudget11" displayName="BalanceBudget11" ref="A12:E16" totalsRowCount="1">
  <autoFilter ref="A12:E15" xr:uid="{20B85D4C-DE74-40AD-93EF-EEC715B5DC66}"/>
  <tableColumns count="5">
    <tableColumn id="1" xr3:uid="{9C1EB01E-0A33-4343-B32C-46CFADDCB956}" name="Currency" totalsRowLabel="EUR"/>
    <tableColumn id="2" xr3:uid="{36E372E5-28ED-444A-8DFA-AFFEF48EDF66}" name="Projected" totalsRowFunction="sum" dataDxfId="221" totalsRowDxfId="287">
      <calculatedColumnFormula xml:space="preserve">
SUMIFS(Budget11[Projected], Budget11[Category], BalanceBudget11[[#This Row],[Category]]) -
SUMIFS(Transactions11[Projected (EUR)], Transactions11[Type], "&lt;&gt;Income", Transactions11[Category], BalanceBudget11[[#This Row],[Category]])</calculatedColumnFormula>
    </tableColumn>
    <tableColumn id="3" xr3:uid="{78921A06-9D9F-454B-876A-FBE93D447453}" name="Actual" totalsRowFunction="sum" dataDxfId="220" totalsRowDxfId="286">
      <calculatedColumnFormula xml:space="preserve">
SUMIFS(Budget11[Actual], Budget11[Category], BalanceBudget11[[#This Row],[Category]]) -
SUMIFS(Transactions11[Actual (EUR)], Transactions11[Type], "&lt;&gt;Income", Transactions11[Category], BalanceBudget11[[#This Row],[Category]])</calculatedColumnFormula>
    </tableColumn>
    <tableColumn id="4" xr3:uid="{30010147-87CA-4B48-922F-95F5A9EDEC3C}" name="Difference" totalsRowFunction="sum" dataDxfId="219" totalsRowDxfId="285">
      <calculatedColumnFormula>BalanceBudget11[[#This Row],[Actual]] - BalanceBudget11[[#This Row],[Projected]]</calculatedColumnFormula>
    </tableColumn>
    <tableColumn id="5" xr3:uid="{7108A14F-4146-8C42-9673-4C06D1490877}" name="Category" totalsRowLabel="All"/>
  </tableColumns>
  <tableStyleInfo name="TableStyleMedium1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95729284-99DC-674F-A265-AD677C134F08}" name="BalanceCurrency11" displayName="BalanceCurrency11" ref="A21:D27" totalsRowShown="0">
  <autoFilter ref="A21:D27" xr:uid="{A84D0160-C5B3-4C85-92A8-EE4858CA89D3}"/>
  <tableColumns count="4">
    <tableColumn id="1" xr3:uid="{E3DE5F87-36EB-FD4F-8132-3A6D7B7C94EB}" name="Currency"/>
    <tableColumn id="2" xr3:uid="{DF1C0CAF-7D29-3147-8A68-FB381F6D82F4}" name="Projected" dataDxfId="218">
      <calculatedColumnFormula xml:space="preserve">
SUMIFS(Transactions11[Projected], Transactions11[Currency], BalanceCurrency11[[#This Row],[Currency]], Transactions11[Type], "Income") -
SUMIFS(Transactions11[Projected], Transactions11[Currency], BalanceCurrency11[[#This Row],[Currency]], Transactions11[Type], "&lt;&gt;Income")</calculatedColumnFormula>
    </tableColumn>
    <tableColumn id="3" xr3:uid="{D54305B5-0BF3-9F45-BC9D-EFE5D3B1A738}" name="Actual" dataDxfId="217">
      <calculatedColumnFormula xml:space="preserve">
SUMIFS(Transactions11[Actual], Transactions11[Currency], BalanceCurrency11[[#This Row],[Currency]], Transactions11[Type], "Income") -
SUMIFS(Transactions11[Actual], Transactions11[Currency], BalanceCurrency11[[#This Row],[Currency]], Transactions11[Type], "&lt;&gt;Income")</calculatedColumnFormula>
    </tableColumn>
    <tableColumn id="4" xr3:uid="{DA0D681E-12FE-8E4A-9D4C-62D66DCEC589}" name="Difference" dataDxfId="216">
      <calculatedColumnFormula>BalanceCurrency11[[#This Row],[Actual]] - BalanceCurrency11[[#This Row],[Projected]]</calculatedColumnFormula>
    </tableColumn>
  </tableColumns>
  <tableStyleInfo name="TableStyleMedium1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3413F4-03F4-4D8E-80C7-EEABB630C929}" name="Transactions12" displayName="Transactions12" ref="A44:K45" totalsRowShown="0">
  <autoFilter ref="A44:K45" xr:uid="{BE3413F4-03F4-4D8E-80C7-EEABB630C929}"/>
  <sortState xmlns:xlrd2="http://schemas.microsoft.com/office/spreadsheetml/2017/richdata2" ref="A45:H45">
    <sortCondition ref="F44:F45"/>
  </sortState>
  <tableColumns count="11">
    <tableColumn id="4" xr3:uid="{141FBABC-DA71-4BF7-AA25-4585B382C7AB}" name="Currency"/>
    <tableColumn id="5" xr3:uid="{395CA4F3-486A-4045-9EA2-C5D3A82E63E4}" name="Projected" dataDxfId="255"/>
    <tableColumn id="6" xr3:uid="{3EF9E4F1-D626-43C2-9011-BA7156FAE7A2}" name="Actual" dataDxfId="254"/>
    <tableColumn id="3" xr3:uid="{08EC04A0-66CF-440E-9725-031E5D58DC0C}" name="Difference" dataDxfId="253"/>
    <tableColumn id="1" xr3:uid="{BDCF4C7F-8372-499A-8413-DDAEF61E7981}" name="Type"/>
    <tableColumn id="8" xr3:uid="{C0E4ADC7-CDBA-45E4-AC21-E01AD1949350}" name="Category"/>
    <tableColumn id="2" xr3:uid="{85336C77-66D7-460E-90ED-93C61915F187}" name="Sub-category"/>
    <tableColumn id="9" xr3:uid="{6D52D0D8-F1C3-4BA5-BFDD-9EF2B1E912D9}" name="Description"/>
    <tableColumn id="7" xr3:uid="{F5565722-DEF2-43C9-8A3B-9F72BFB12DA0}" name="Projected (EUR)" dataDxfId="252">
      <calculatedColumnFormula array="1">CONVERT2EUR(Transactions12[[#This Row],[Currency]], Transactions12[[#This Row],[Projected]])</calculatedColumnFormula>
    </tableColumn>
    <tableColumn id="10" xr3:uid="{6F888F3C-D0C1-4604-AE0E-E54480EB221C}" name="Actual (EUR)" dataDxfId="251"/>
    <tableColumn id="11" xr3:uid="{6F6965D1-31D8-4421-B77A-1068DD870ACF}" name="Difference (EUR)" dataDxfId="250">
      <calculatedColumnFormula>Transactions12[[#This Row],[Actual (EUR)]] - Transactions12[[#This Row],[Projected (EUR)]]</calculatedColumnFormula>
    </tableColumn>
  </tableColumns>
  <tableStyleInfo name="TableStyleMedium1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794A87-15C6-41FB-830A-DCD8A580D945}" name="Budget12" displayName="Budget12" ref="A3:F7" totalsRowCount="1">
  <autoFilter ref="A3:F6" xr:uid="{F0794A87-15C6-41FB-830A-DCD8A580D945}"/>
  <tableColumns count="6">
    <tableColumn id="8" xr3:uid="{FC157A8E-3E2F-4996-865F-A69D824DAEA9}" name="Currency" totalsRowLabel="EUR" dataDxfId="259"/>
    <tableColumn id="2" xr3:uid="{B18F59E4-61ED-4AB9-98F0-A8DE168A4D72}" name="Projected" totalsRowFunction="sum" dataDxfId="249" totalsRowDxfId="272">
      <calculatedColumnFormula xml:space="preserve"> Budget12[[#This Row],[Slice]] * SUMIFS(Transactions12[Projected (EUR)], Transactions12[Type], "Income")</calculatedColumnFormula>
    </tableColumn>
    <tableColumn id="3" xr3:uid="{86FE022E-39BB-42C6-A123-88637A9EBE5C}" name="Actual" totalsRowFunction="sum" dataDxfId="248" totalsRowDxfId="271">
      <calculatedColumnFormula xml:space="preserve"> Budget12[[#This Row],[Slice]] * SUMIFS(Transactions12[Actual (EUR)], Transactions12[Type], "Income")</calculatedColumnFormula>
    </tableColumn>
    <tableColumn id="4" xr3:uid="{1E1574FE-1AE9-4B69-9DF5-94CF34D28B5B}" name="Difference" totalsRowFunction="sum" dataDxfId="247" totalsRowDxfId="270">
      <calculatedColumnFormula>Budget12[[#This Row],[Actual]]-Budget12[[#This Row],[Projected]]</calculatedColumnFormula>
    </tableColumn>
    <tableColumn id="6" xr3:uid="{F4687AD8-A782-46E4-AC68-3581EEC8D8B2}" name="Category" totalsRowLabel="All" dataDxfId="258"/>
    <tableColumn id="9" xr3:uid="{4079AAED-F80B-48D0-BD3A-18A0CCED5692}" name="Slice" totalsRowFunction="sum" dataDxfId="269" totalsRowDxfId="268"/>
  </tableColumns>
  <tableStyleInfo name="TableStyleMedium1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3728AE-6BDD-4D46-B9B2-DD02597E5EAD}" name="TransactionsSummary12" displayName="TransactionsSummary12" ref="A32:F39">
  <autoFilter ref="A32:F39" xr:uid="{713728AE-6BDD-4D46-B9B2-DD02597E5EAD}"/>
  <tableColumns count="6">
    <tableColumn id="8" xr3:uid="{2EED8147-DCB5-4446-8404-C21B09499558}" name="Currency" totalsRowLabel="EUR" dataDxfId="257"/>
    <tableColumn id="2" xr3:uid="{FB2BE1FE-382A-4043-A848-647A8C212023}" name="Projected" totalsRowFunction="sum" dataDxfId="246" totalsRowDxfId="267">
      <calculatedColumnFormula xml:space="preserve"> SUMIFS(Transactions12[Projected (EUR)], Transactions12[Type], TransactionsSummary12[[#This Row],[Type]], Transactions12[Category], TransactionsSummary12[[#This Row],[Category]])</calculatedColumnFormula>
    </tableColumn>
    <tableColumn id="3" xr3:uid="{93C563A7-04F2-430D-A2BE-3BB675CD5775}" name="Actual" totalsRowFunction="sum" dataDxfId="245">
      <calculatedColumnFormula xml:space="preserve"> SUMIFS(Transactions12[Actual (EUR)], Transactions12[Type], TransactionsSummary12[[#This Row],[Type]], Transactions12[Category], TransactionsSummary12[[#This Row],[Category]])</calculatedColumnFormula>
    </tableColumn>
    <tableColumn id="4" xr3:uid="{A38147E1-7929-4661-A809-9188EDD88405}" name="Difference" totalsRowFunction="sum" dataDxfId="244" totalsRowDxfId="266">
      <calculatedColumnFormula>TransactionsSummary12[[#This Row],[Actual]]-TransactionsSummary12[[#This Row],[Projected]]</calculatedColumnFormula>
    </tableColumn>
    <tableColumn id="6" xr3:uid="{7BC1974D-2DCE-4D30-A7B4-9D15DCAF8B83}" name="Type" totalsRowLabel="All" dataDxfId="256"/>
    <tableColumn id="9" xr3:uid="{0FE7FA8A-9B1E-447F-BF22-D8AF1E196D11}" name="Category" dataDxfId="265"/>
  </tableColumns>
  <tableStyleInfo name="TableStyleMedium1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0B85D4C-DE74-40AD-93EF-EEC715B5DC66}" name="BalanceBudget12" displayName="BalanceBudget12" ref="A12:E16" totalsRowCount="1">
  <autoFilter ref="A12:E15" xr:uid="{20B85D4C-DE74-40AD-93EF-EEC715B5DC66}"/>
  <tableColumns count="5">
    <tableColumn id="1" xr3:uid="{BA1A2DB7-0E23-45A0-A4BA-B7673E968258}" name="Currency" totalsRowLabel="EUR"/>
    <tableColumn id="2" xr3:uid="{91407FD5-D165-4772-A1FC-2ED4BF2A54D1}" name="Projected" totalsRowFunction="sum" dataDxfId="243" totalsRowDxfId="264">
      <calculatedColumnFormula xml:space="preserve">
SUMIFS(Budget12[Projected], Budget12[Category], BalanceBudget12[[#This Row],[Category]]) -
SUMIFS(Transactions12[Projected (EUR)], Transactions12[Type], "&lt;&gt;Income", Transactions12[Category], BalanceBudget12[[#This Row],[Category]])</calculatedColumnFormula>
    </tableColumn>
    <tableColumn id="3" xr3:uid="{E0B9CA55-7C80-4428-BC29-C733A247A6A7}" name="Actual" totalsRowFunction="sum" dataDxfId="242" totalsRowDxfId="263">
      <calculatedColumnFormula xml:space="preserve">
SUMIFS(Budget12[Actual], Budget12[Category], BalanceBudget12[[#This Row],[Category]]) -
SUMIFS(Transactions12[Actual (EUR)], Transactions12[Type], "&lt;&gt;Income", Transactions12[Category], BalanceBudget12[[#This Row],[Category]])</calculatedColumnFormula>
    </tableColumn>
    <tableColumn id="4" xr3:uid="{0E5E1F16-1E87-4D2C-98A9-5792C8D09F9C}" name="Difference" totalsRowFunction="sum" dataDxfId="241" totalsRowDxfId="262"/>
    <tableColumn id="5" xr3:uid="{D4DFA0BE-280C-4847-AE19-CA947E0BB2E2}" name="Category" totalsRowLabel="All"/>
  </tableColumns>
  <tableStyleInfo name="TableStyleMedium1" showFirstColumn="0" showLastColumn="0" showRowStripes="0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4D0160-C5B3-4C85-92A8-EE4858CA89D3}" name="BalanceCurrency12" displayName="BalanceCurrency12" ref="A21:D27" totalsRowShown="0">
  <autoFilter ref="A21:D27" xr:uid="{A84D0160-C5B3-4C85-92A8-EE4858CA89D3}"/>
  <tableColumns count="4">
    <tableColumn id="1" xr3:uid="{ED4758B5-164E-4F02-B47C-88FF430292D7}" name="Currency"/>
    <tableColumn id="2" xr3:uid="{7673F182-966B-4C2F-B822-2853FEC47DED}" name="Projected" dataDxfId="240">
      <calculatedColumnFormula xml:space="preserve">
SUMIFS(Transactions12[Projected], Transactions12[Currency], BalanceCurrency12[[#This Row],[Currency]], Transactions12[Type], "Income") -
SUMIFS(Transactions12[Projected], Transactions12[Currency], BalanceCurrency12[[#This Row],[Currency]], Transactions12[Type], "&lt;&gt;Income")</calculatedColumnFormula>
    </tableColumn>
    <tableColumn id="3" xr3:uid="{DEA24344-70D5-482C-AECD-9AF1F17FDDC7}" name="Actual" dataDxfId="239">
      <calculatedColumnFormula xml:space="preserve">
SUMIFS(Transactions12[Actual], Transactions12[Currency], BalanceCurrency12[[#This Row],[Currency]], Transactions12[Type], "Income") -
SUMIFS(Transactions12[Actual], Transactions12[Currency], BalanceCurrency12[[#This Row],[Currency]], Transactions12[Type], "&lt;&gt;Income")</calculatedColumnFormula>
    </tableColumn>
    <tableColumn id="4" xr3:uid="{23469722-E6D0-4894-A0F2-FA3440CE995D}" name="Difference" dataDxfId="238"/>
  </tableColumns>
  <tableStyleInfo name="TableStyleMedium1" showFirstColumn="0" showLastColumn="0" showRowStripes="0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0BC4EB-15E7-4CF4-AFBA-FF111772AE5C}" name="ExchangeRate" displayName="ExchangeRate" ref="A1:D4" totalsRowShown="0">
  <autoFilter ref="A1:D4" xr:uid="{9485BED7-A4BC-4774-BD2F-58AADBA0AC44}">
    <filterColumn colId="0" hiddenButton="1"/>
    <filterColumn colId="1" hiddenButton="1"/>
    <filterColumn colId="2" hiddenButton="1"/>
    <filterColumn colId="3" hiddenButton="1"/>
  </autoFilter>
  <tableColumns count="4">
    <tableColumn id="1" xr3:uid="{6DD8BA51-5A47-4F6C-AF1C-B54E957A639A}" name="Conversion"/>
    <tableColumn id="2" xr3:uid="{28C1F1DC-D61F-49A0-96EC-5F0909167D81}" name="From currency">
      <calculatedColumnFormula array="1">_FV(ExchangeRate[[#This Row],[Conversion]],"From currency",TRUE)</calculatedColumnFormula>
    </tableColumn>
    <tableColumn id="3" xr3:uid="{7E58B5AE-0B45-4636-921F-5088D2F9A1A8}" name="Currency">
      <calculatedColumnFormula array="1">_FV(ExchangeRate[[#This Row],[Conversion]],"Currency")</calculatedColumnFormula>
    </tableColumn>
    <tableColumn id="4" xr3:uid="{17A4BA70-57B8-48A4-82C3-BB04A718A245}" name="Price" dataDxfId="261">
      <calculatedColumnFormula array="1">_FV(ExchangeRate[[#This Row],[Conversion]],"Price")</calculatedColumnFormula>
    </tableColumn>
  </tableColumns>
  <tableStyleInfo name="TableStyleMedium1" showFirstColumn="0" showLastColumn="0" showRowStripes="0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4611B9-B720-4D25-98BA-9830678703A4}" name="ExchangeRateManual" displayName="ExchangeRateManual" ref="A7:D8" totalsRowShown="0">
  <autoFilter ref="A7:D8" xr:uid="{78C60DA9-8B48-4A48-B48C-7C7221F4A756}">
    <filterColumn colId="0" hiddenButton="1"/>
    <filterColumn colId="1" hiddenButton="1"/>
    <filterColumn colId="2" hiddenButton="1"/>
    <filterColumn colId="3" hiddenButton="1"/>
  </autoFilter>
  <tableColumns count="4">
    <tableColumn id="1" xr3:uid="{77B24DF6-EDE9-44F9-9475-9E750C4C2450}" name="Conversion"/>
    <tableColumn id="2" xr3:uid="{7B55D0BD-694C-47CD-AEDF-E7EAA3E9BB20}" name="From currency"/>
    <tableColumn id="3" xr3:uid="{24A234BF-B644-49D6-96E7-02A5C68D693B}" name="Currency"/>
    <tableColumn id="4" xr3:uid="{AE546E68-0EE9-4133-AEE2-BFFA013865F1}" name="Price"/>
  </tableColumns>
  <tableStyleInfo name="TableStyleMedium1" showFirstColumn="0" showLastColumn="0" showRowStripes="0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085426-7164-4914-97A6-D4523E7C5425}" name="Shares" displayName="Shares" ref="A11:C12" totalsRowShown="0">
  <autoFilter ref="A11:C12" xr:uid="{47B11DF5-7AD6-47C6-9B05-B6349A4BF18C}">
    <filterColumn colId="0" hiddenButton="1"/>
    <filterColumn colId="1" hiddenButton="1"/>
    <filterColumn colId="2" hiddenButton="1"/>
  </autoFilter>
  <tableColumns count="3">
    <tableColumn id="1" xr3:uid="{CD9A0AE8-AFF4-467D-85D4-E84CC80FDCD9}" name="Share"/>
    <tableColumn id="3" xr3:uid="{C27F9586-7ED6-444A-9CA0-B8ABF8870079}" name="Currency">
      <calculatedColumnFormula array="1">_FV(Shares[[#This Row],[Share]],"Currency")</calculatedColumnFormula>
    </tableColumn>
    <tableColumn id="4" xr3:uid="{26B4202C-2D3C-4E90-95C3-DC45D34C4B56}" name="Price" dataDxfId="260">
      <calculatedColumnFormula array="1">_FV(Shares[[#This Row],[Share]],"Price")</calculatedColumnFormula>
    </tableColumn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7" Type="http://schemas.openxmlformats.org/officeDocument/2006/relationships/table" Target="../tables/table4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7" Type="http://schemas.openxmlformats.org/officeDocument/2006/relationships/table" Target="../tables/table5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9.xml"/><Relationship Id="rId5" Type="http://schemas.openxmlformats.org/officeDocument/2006/relationships/table" Target="../tables/table48.xml"/><Relationship Id="rId4" Type="http://schemas.openxmlformats.org/officeDocument/2006/relationships/table" Target="../tables/table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558A-440F-0D4F-AAE5-FBE450E17D70}">
  <sheetPr codeName="Sheet25"/>
  <dimension ref="A1:K91"/>
  <sheetViews>
    <sheetView tabSelected="1" zoomScale="90" zoomScaleNormal="90" workbookViewId="0">
      <selection activeCell="F22" sqref="F22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Budget094954596469747984[[#This Row],[Slice]] * SUMIFS(Transactions01[Projected (EUR)], Transactions01[Type], "Income")</f>
        <v>0</v>
      </c>
      <c r="C4" s="3">
        <f xml:space="preserve"> Budget094954596469747984[[#This Row],[Slice]] * SUMIFS(Transactions01[Actual (EUR)], Transactions01[Type], "Income")</f>
        <v>0</v>
      </c>
      <c r="D4" s="3">
        <f>Budget094954596469747984[[#This Row],[Actual]]-Budget094954596469747984[[#This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Budget094954596469747984[[#This Row],[Slice]] * SUMIFS(Transactions01[Projected (EUR)], Transactions01[Type], "Income")</f>
        <v>0</v>
      </c>
      <c r="C5" s="3">
        <f xml:space="preserve"> Budget094954596469747984[[#This Row],[Slice]] * SUMIFS(Transactions01[Actual (EUR)], Transactions01[Type], "Income")</f>
        <v>0</v>
      </c>
      <c r="D5" s="3">
        <f>Budget094954596469747984[[#This Row],[Actual]]-Budget094954596469747984[[#This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Budget094954596469747984[[#This Row],[Slice]] * SUMIFS(Transactions01[Projected (EUR)], Transactions01[Type], "Income")</f>
        <v>0</v>
      </c>
      <c r="C6" s="3">
        <f xml:space="preserve"> Budget094954596469747984[[#This Row],[Slice]] * SUMIFS(Transactions01[Actual (EUR)], Transactions01[Type], "Income")</f>
        <v>0</v>
      </c>
      <c r="D6" s="3">
        <f>Budget094954596469747984[[#This Row],[Actual]]-Budget094954596469747984[[#This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SUBTOTAL(109,Budget094954596469747984[Projected])</f>
        <v>0</v>
      </c>
      <c r="C7" s="5">
        <f>SUBTOTAL(109,Budget094954596469747984[Actual])</f>
        <v>0</v>
      </c>
      <c r="D7" s="5">
        <f>SUBTOTAL(109,Budget094954596469747984[Difference])</f>
        <v>0</v>
      </c>
      <c r="E7" t="s">
        <v>13</v>
      </c>
      <c r="F7" s="4">
        <f>SUBTOTAL(109,Budget094954596469747984[Slice])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SUMIFS(Budget094954596469747984[Projected], Budget094954596469747984[Category], BalanceBudget095156616671768186[[#This Row],[Category]]) -
SUMIFS(Transactions01[Projected (EUR)], Transactions01[Type], "&lt;&gt;Income", Transactions01[Category], BalanceBudget095156616671768186[[#This Row],[Category]])</f>
        <v>0</v>
      </c>
      <c r="C13" s="5">
        <f xml:space="preserve">
SUMIFS(Budget094954596469747984[Actual], Budget094954596469747984[Category], BalanceBudget095156616671768186[[#This Row],[Category]]) -
SUMIFS(Transactions01[Actual (EUR)], Transactions01[Type], "&lt;&gt;Income", Transactions01[Category], BalanceBudget095156616671768186[[#This Row],[Category]])</f>
        <v>0</v>
      </c>
      <c r="D13" s="5">
        <f>BalanceBudget095156616671768186[[#This Row],[Actual]] - BalanceBudget095156616671768186[[#This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SUMIFS(Budget094954596469747984[Projected], Budget094954596469747984[Category], BalanceBudget095156616671768186[[#This Row],[Category]]) -
SUMIFS(Transactions01[Projected (EUR)], Transactions01[Type], "&lt;&gt;Income", Transactions01[Category], BalanceBudget095156616671768186[[#This Row],[Category]])</f>
        <v>0</v>
      </c>
      <c r="C14" s="5">
        <f xml:space="preserve">
SUMIFS(Budget094954596469747984[Actual], Budget094954596469747984[Category], BalanceBudget095156616671768186[[#This Row],[Category]]) -
SUMIFS(Transactions01[Actual (EUR)], Transactions01[Type], "&lt;&gt;Income", Transactions01[Category], BalanceBudget095156616671768186[[#This Row],[Category]])</f>
        <v>0</v>
      </c>
      <c r="D14" s="5">
        <f>BalanceBudget095156616671768186[[#This Row],[Actual]] - BalanceBudget095156616671768186[[#This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SUMIFS(Budget094954596469747984[Projected], Budget094954596469747984[Category], BalanceBudget095156616671768186[[#This Row],[Category]]) -
SUMIFS(Transactions01[Projected (EUR)], Transactions01[Type], "&lt;&gt;Income", Transactions01[Category], BalanceBudget095156616671768186[[#This Row],[Category]])</f>
        <v>0</v>
      </c>
      <c r="C15" s="5">
        <f xml:space="preserve">
SUMIFS(Budget094954596469747984[Actual], Budget094954596469747984[Category], BalanceBudget095156616671768186[[#This Row],[Category]]) -
SUMIFS(Transactions01[Actual (EUR)], Transactions01[Type], "&lt;&gt;Income", Transactions01[Category], BalanceBudget095156616671768186[[#This Row],[Category]])</f>
        <v>0</v>
      </c>
      <c r="D15" s="5">
        <f>BalanceBudget095156616671768186[[#This Row],[Actual]] - BalanceBudget095156616671768186[[#This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SUBTOTAL(109,BalanceBudget095156616671768186[Projected])</f>
        <v>0</v>
      </c>
      <c r="C16" s="5">
        <f>SUBTOTAL(109,BalanceBudget095156616671768186[Actual])</f>
        <v>0</v>
      </c>
      <c r="D16" s="5">
        <f>SUBTOTAL(109,BalanceBudget095156616671768186[Difference])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SUMIFS(Transactions01[Projected], Transactions01[Currency], BalanceCurrency095257626772778287[[#This Row],[Currency]], Transactions01[Type], "Income") -
SUMIFS(Transactions01[Projected], Transactions01[Currency], BalanceCurrency095257626772778287[[#This Row],[Currency]], Transactions01[Type], "&lt;&gt;Income")</f>
        <v>0</v>
      </c>
      <c r="C22" s="5">
        <f xml:space="preserve">
SUMIFS(Transactions01[Actual], Transactions01[Currency], BalanceCurrency095257626772778287[[#This Row],[Currency]], Transactions01[Type], "Income") -
SUMIFS(Transactions01[Actual], Transactions01[Currency], BalanceCurrency095257626772778287[[#This Row],[Currency]], Transactions01[Type], "&lt;&gt;Income")</f>
        <v>0</v>
      </c>
      <c r="D22" s="5">
        <f>BalanceCurrency095257626772778287[[#This Row],[Actual]] - BalanceCurrency095257626772778287[[#This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SUMIFS(Transactions01[Projected], Transactions01[Currency], BalanceCurrency095257626772778287[[#This Row],[Currency]], Transactions01[Type], "Income") -
SUMIFS(Transactions01[Projected], Transactions01[Currency], BalanceCurrency095257626772778287[[#This Row],[Currency]], Transactions01[Type], "&lt;&gt;Income")</f>
        <v>0</v>
      </c>
      <c r="C23" s="5">
        <f xml:space="preserve">
SUMIFS(Transactions01[Actual], Transactions01[Currency], BalanceCurrency095257626772778287[[#This Row],[Currency]], Transactions01[Type], "Income") -
SUMIFS(Transactions01[Actual], Transactions01[Currency], BalanceCurrency095257626772778287[[#This Row],[Currency]], Transactions01[Type], "&lt;&gt;Income")</f>
        <v>0</v>
      </c>
      <c r="D23" s="5">
        <f>BalanceCurrency095257626772778287[[#This Row],[Actual]] - BalanceCurrency095257626772778287[[#This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SUMIFS(Transactions01[Projected], Transactions01[Currency], BalanceCurrency095257626772778287[[#This Row],[Currency]], Transactions01[Type], "Income") -
SUMIFS(Transactions01[Projected], Transactions01[Currency], BalanceCurrency095257626772778287[[#This Row],[Currency]], Transactions01[Type], "&lt;&gt;Income")</f>
        <v>0</v>
      </c>
      <c r="C24" s="5">
        <f xml:space="preserve">
SUMIFS(Transactions01[Actual], Transactions01[Currency], BalanceCurrency095257626772778287[[#This Row],[Currency]], Transactions01[Type], "Income") -
SUMIFS(Transactions01[Actual], Transactions01[Currency], BalanceCurrency095257626772778287[[#This Row],[Currency]], Transactions01[Type], "&lt;&gt;Income")</f>
        <v>0</v>
      </c>
      <c r="D24" s="5">
        <f>BalanceCurrency095257626772778287[[#This Row],[Actual]] - BalanceCurrency095257626772778287[[#This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SUMIFS(Transactions01[Projected], Transactions01[Currency], BalanceCurrency095257626772778287[[#This Row],[Currency]], Transactions01[Type], "Income") -
SUMIFS(Transactions01[Projected], Transactions01[Currency], BalanceCurrency095257626772778287[[#This Row],[Currency]], Transactions01[Type], "&lt;&gt;Income")</f>
        <v>0</v>
      </c>
      <c r="C25" s="5">
        <f xml:space="preserve">
SUMIFS(Transactions01[Actual], Transactions01[Currency], BalanceCurrency095257626772778287[[#This Row],[Currency]], Transactions01[Type], "Income") -
SUMIFS(Transactions01[Actual], Transactions01[Currency], BalanceCurrency095257626772778287[[#This Row],[Currency]], Transactions01[Type], "&lt;&gt;Income")</f>
        <v>0</v>
      </c>
      <c r="D25" s="5">
        <f>BalanceCurrency095257626772778287[[#This Row],[Actual]] - BalanceCurrency095257626772778287[[#This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SUMIFS(Transactions01[Projected], Transactions01[Currency], BalanceCurrency095257626772778287[[#This Row],[Currency]], Transactions01[Type], "Income") -
SUMIFS(Transactions01[Projected], Transactions01[Currency], BalanceCurrency095257626772778287[[#This Row],[Currency]], Transactions01[Type], "&lt;&gt;Income")</f>
        <v>0</v>
      </c>
      <c r="C26" s="5">
        <f xml:space="preserve">
SUMIFS(Transactions01[Actual], Transactions01[Currency], BalanceCurrency095257626772778287[[#This Row],[Currency]], Transactions01[Type], "Income") -
SUMIFS(Transactions01[Actual], Transactions01[Currency], BalanceCurrency095257626772778287[[#This Row],[Currency]], Transactions01[Type], "&lt;&gt;Income")</f>
        <v>0</v>
      </c>
      <c r="D26" s="5">
        <f>BalanceCurrency095257626772778287[[#This Row],[Actual]] - BalanceCurrency095257626772778287[[#This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SUMIFS(Transactions01[Projected], Transactions01[Currency], BalanceCurrency095257626772778287[[#This Row],[Currency]], Transactions01[Type], "Income") -
SUMIFS(Transactions01[Projected], Transactions01[Currency], BalanceCurrency095257626772778287[[#This Row],[Currency]], Transactions01[Type], "&lt;&gt;Income")</f>
        <v>0</v>
      </c>
      <c r="C27" s="5">
        <f xml:space="preserve">
SUMIFS(Transactions01[Actual], Transactions01[Currency], BalanceCurrency095257626772778287[[#This Row],[Currency]], Transactions01[Type], "Income") -
SUMIFS(Transactions01[Actual], Transactions01[Currency], BalanceCurrency095257626772778287[[#This Row],[Currency]], Transactions01[Type], "&lt;&gt;Income")</f>
        <v>0</v>
      </c>
      <c r="D27" s="5">
        <f>BalanceCurrency095257626772778287[[#This Row],[Actual]] - BalanceCurrency095257626772778287[[#This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SUMIFS(Transactions01[Projected (EUR)], Transactions01[Type], TransactionsSummary095055606570758085[[#This Row],[Type]], Transactions01[Category], TransactionsSummary095055606570758085[[#This Row],[Category]])</f>
        <v>0</v>
      </c>
      <c r="C33" s="3">
        <f xml:space="preserve"> SUMIFS(Transactions01[Actual (EUR)], Transactions01[Type], TransactionsSummary095055606570758085[[#This Row],[Type]], Transactions01[Category], TransactionsSummary095055606570758085[[#This Row],[Category]])</f>
        <v>0</v>
      </c>
      <c r="D33" s="3">
        <f>TransactionsSummary095055606570758085[[#This Row],[Actual]]-TransactionsSummary095055606570758085[[#This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SUMIFS(Transactions01[Projected (EUR)], Transactions01[Type], TransactionsSummary095055606570758085[[#This Row],[Type]], Transactions01[Category], TransactionsSummary095055606570758085[[#This Row],[Category]])</f>
        <v>0</v>
      </c>
      <c r="C34" s="3">
        <f xml:space="preserve"> SUMIFS(Transactions01[Actual (EUR)], Transactions01[Type], TransactionsSummary095055606570758085[[#This Row],[Type]], Transactions01[Category], TransactionsSummary095055606570758085[[#This Row],[Category]])</f>
        <v>0</v>
      </c>
      <c r="D34" s="3">
        <f>TransactionsSummary095055606570758085[[#This Row],[Actual]]-TransactionsSummary095055606570758085[[#This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SUMIFS(Transactions01[Projected (EUR)], Transactions01[Type], TransactionsSummary095055606570758085[[#This Row],[Type]], Transactions01[Category], TransactionsSummary095055606570758085[[#This Row],[Category]])</f>
        <v>0</v>
      </c>
      <c r="C35" s="3">
        <f xml:space="preserve"> SUMIFS(Transactions01[Actual (EUR)], Transactions01[Type], TransactionsSummary095055606570758085[[#This Row],[Type]], Transactions01[Category], TransactionsSummary095055606570758085[[#This Row],[Category]])</f>
        <v>0</v>
      </c>
      <c r="D35" s="3">
        <f>TransactionsSummary095055606570758085[[#This Row],[Actual]]-TransactionsSummary095055606570758085[[#This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SUMIFS(Transactions01[Projected (EUR)], Transactions01[Type], TransactionsSummary095055606570758085[[#This Row],[Type]], Transactions01[Category], TransactionsSummary095055606570758085[[#This Row],[Category]])</f>
        <v>0</v>
      </c>
      <c r="C36" s="3">
        <f xml:space="preserve"> SUMIFS(Transactions01[Actual (EUR)], Transactions01[Type], TransactionsSummary095055606570758085[[#This Row],[Type]], Transactions01[Category], TransactionsSummary095055606570758085[[#This Row],[Category]])</f>
        <v>0</v>
      </c>
      <c r="D36" s="3">
        <f>TransactionsSummary095055606570758085[[#This Row],[Actual]]-TransactionsSummary095055606570758085[[#This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SUMIFS(Transactions01[Projected (EUR)], Transactions01[Type], TransactionsSummary095055606570758085[[#This Row],[Type]], Transactions01[Category], TransactionsSummary095055606570758085[[#This Row],[Category]])</f>
        <v>0</v>
      </c>
      <c r="C37" s="3">
        <f xml:space="preserve"> SUMIFS(Transactions01[Actual (EUR)], Transactions01[Type], TransactionsSummary095055606570758085[[#This Row],[Type]], Transactions01[Category], TransactionsSummary095055606570758085[[#This Row],[Category]])</f>
        <v>0</v>
      </c>
      <c r="D37" s="3">
        <f>TransactionsSummary095055606570758085[[#This Row],[Actual]]-TransactionsSummary095055606570758085[[#This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SUMIFS(Transactions01[Projected (EUR)], Transactions01[Type], TransactionsSummary095055606570758085[[#This Row],[Type]], Transactions01[Category], TransactionsSummary095055606570758085[[#This Row],[Category]])</f>
        <v>0</v>
      </c>
      <c r="C38" s="3">
        <f xml:space="preserve"> SUMIFS(Transactions01[Actual (EUR)], Transactions01[Type], TransactionsSummary095055606570758085[[#This Row],[Type]], Transactions01[Category], TransactionsSummary095055606570758085[[#This Row],[Category]])</f>
        <v>0</v>
      </c>
      <c r="D38" s="3">
        <f>TransactionsSummary095055606570758085[[#This Row],[Actual]]-TransactionsSummary095055606570758085[[#This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SUMIFS(Transactions01[Projected (EUR)], Transactions01[Type], TransactionsSummary095055606570758085[[#This Row],[Type]], Transactions01[Category], TransactionsSummary095055606570758085[[#This Row],[Category]])</f>
        <v>0</v>
      </c>
      <c r="C39" s="3">
        <f xml:space="preserve"> SUMIFS(Transactions01[Actual (EUR)], Transactions01[Type], TransactionsSummary095055606570758085[[#This Row],[Type]], Transactions01[Category], TransactionsSummary095055606570758085[[#This Row],[Category]])</f>
        <v>0</v>
      </c>
      <c r="D39" s="3">
        <f>TransactionsSummary095055606570758085[[#This Row],[Actual]]-TransactionsSummary095055606570758085[[#This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5"/>
      <c r="D45" s="5">
        <f>Transactions01[[#This Row],[Actual]]-Transactions01[[#This Row],[Projected]]</f>
        <v>0</v>
      </c>
      <c r="I45" s="5" cm="1">
        <f t="array" ref="I45">CONVERT2EUR(Transactions01[[#This Row],[Currency]], Transactions01[[#This Row],[Projected]])</f>
        <v>0</v>
      </c>
      <c r="J45" s="5" cm="1">
        <f t="array" ref="J45">CONVERT2EUR(Transactions01[[#This Row],[Currency]], Transactions01[[#This Row],[Actual]])</f>
        <v>0</v>
      </c>
      <c r="K45" s="5">
        <f>Transactions01[[#This Row],[Actual (EUR)]] - Transactions01[[#This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3:D14">
    <cfRule type="cellIs" dxfId="552" priority="63" operator="lessThan">
      <formula>0</formula>
    </cfRule>
    <cfRule type="cellIs" dxfId="551" priority="69" operator="greaterThanOrEqual">
      <formula>0</formula>
    </cfRule>
  </conditionalFormatting>
  <conditionalFormatting sqref="B16:C16">
    <cfRule type="cellIs" dxfId="550" priority="67" operator="notBetween">
      <formula>-0.01</formula>
      <formula>0.01</formula>
    </cfRule>
  </conditionalFormatting>
  <conditionalFormatting sqref="B22:C27">
    <cfRule type="cellIs" dxfId="549" priority="66" operator="notBetween">
      <formula>-0.01</formula>
      <formula>0.01</formula>
    </cfRule>
  </conditionalFormatting>
  <conditionalFormatting sqref="F7">
    <cfRule type="cellIs" dxfId="548" priority="65" operator="notEqual">
      <formula>1</formula>
    </cfRule>
  </conditionalFormatting>
  <conditionalFormatting sqref="F4:F6">
    <cfRule type="containsBlanks" dxfId="547" priority="64">
      <formula>LEN(TRIM(F4))=0</formula>
    </cfRule>
  </conditionalFormatting>
  <conditionalFormatting sqref="D34:D35">
    <cfRule type="cellIs" dxfId="546" priority="58" operator="greaterThan">
      <formula>0</formula>
    </cfRule>
    <cfRule type="cellIs" dxfId="545" priority="59" operator="lessThanOrEqual">
      <formula>0</formula>
    </cfRule>
  </conditionalFormatting>
  <conditionalFormatting sqref="D33">
    <cfRule type="cellIs" dxfId="544" priority="60" operator="lessThan">
      <formula>0</formula>
    </cfRule>
    <cfRule type="cellIs" dxfId="543" priority="61" operator="greaterThanOrEqual">
      <formula>0</formula>
    </cfRule>
  </conditionalFormatting>
  <conditionalFormatting sqref="A45:C45 E45:H45">
    <cfRule type="containsBlanks" dxfId="542" priority="1">
      <formula>LEN(TRIM(A45))=0</formula>
    </cfRule>
  </conditionalFormatting>
  <conditionalFormatting sqref="B15:D15">
    <cfRule type="cellIs" dxfId="541" priority="62" operator="greaterThan">
      <formula>0</formula>
    </cfRule>
    <cfRule type="cellIs" dxfId="540" priority="68" operator="lessThanOrEqual">
      <formula>0</formula>
    </cfRule>
  </conditionalFormatting>
  <dataValidations disablePrompts="1" count="6">
    <dataValidation type="list" allowBlank="1" showInputMessage="1" showErrorMessage="1" sqref="A45" xr:uid="{F9D7E354-2823-A943-9BED-C5BF28754CA8}">
      <formula1>$A$22:$A$27</formula1>
    </dataValidation>
    <dataValidation type="list" allowBlank="1" showInputMessage="1" showErrorMessage="1" sqref="F40:F41" xr:uid="{B2642746-0999-4D41-ACF7-BCD47CF066ED}">
      <formula1>"Income, Need, Want, Investment, Any"</formula1>
    </dataValidation>
    <dataValidation type="list" allowBlank="1" showInputMessage="1" showErrorMessage="1" sqref="A40:A41" xr:uid="{153CBF09-98C1-6342-BDE7-05776ACBB62E}">
      <formula1>"EUR"</formula1>
    </dataValidation>
    <dataValidation type="list" allowBlank="1" showInputMessage="1" showErrorMessage="1" sqref="E13:E15 E4:E6" xr:uid="{CA35A07B-6ED7-E14B-8205-569A4F6A3CCE}">
      <formula1>"Need, Want, Investment"</formula1>
    </dataValidation>
    <dataValidation type="list" allowBlank="1" showInputMessage="1" showErrorMessage="1" sqref="F45" xr:uid="{A4EA07DF-8113-BF4C-A9A0-CC098D88FCD8}">
      <formula1>"Need, Want, Investment, Income"</formula1>
    </dataValidation>
    <dataValidation type="list" allowBlank="1" showInputMessage="1" showErrorMessage="1" sqref="E40:E41 E45" xr:uid="{6EE8FD78-5C57-7243-819C-59F40DEB05F5}">
      <formula1>"Income, Expense, Saving"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54128-D514-ED48-80E8-6C81A257C409}">
  <sheetPr codeName="Sheet24"/>
  <dimension ref="A1:K138"/>
  <sheetViews>
    <sheetView topLeftCell="A3" zoomScale="90" zoomScaleNormal="90" workbookViewId="0">
      <selection activeCell="I45" activeCellId="5" sqref="B4:D7 B13:D16 B22:D27 B33:D39 B45:D45 I45:K45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Budget0949545964697479[[#This Row],[Slice]] * SUMIFS(Transactions02[Projected (EUR)], Transactions02[Type], "Income")</f>
        <v>0</v>
      </c>
      <c r="C4" s="3">
        <f xml:space="preserve"> Budget0949545964697479[[#This Row],[Slice]] * SUMIFS(Transactions02[Actual (EUR)], Transactions02[Type], "Income")</f>
        <v>0</v>
      </c>
      <c r="D4" s="3">
        <f>Budget0949545964697479[[#This Row],[Actual]]-Budget0949545964697479[[#This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Budget0949545964697479[[#This Row],[Slice]] * SUMIFS(Transactions02[Projected (EUR)], Transactions02[Type], "Income")</f>
        <v>0</v>
      </c>
      <c r="C5" s="3">
        <f xml:space="preserve"> Budget0949545964697479[[#This Row],[Slice]] * SUMIFS(Transactions02[Actual (EUR)], Transactions02[Type], "Income")</f>
        <v>0</v>
      </c>
      <c r="D5" s="3">
        <f>Budget0949545964697479[[#This Row],[Actual]]-Budget0949545964697479[[#This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Budget0949545964697479[[#This Row],[Slice]] * SUMIFS(Transactions02[Projected (EUR)], Transactions02[Type], "Income")</f>
        <v>0</v>
      </c>
      <c r="C6" s="3">
        <f xml:space="preserve"> Budget0949545964697479[[#This Row],[Slice]] * SUMIFS(Transactions02[Actual (EUR)], Transactions02[Type], "Income")</f>
        <v>0</v>
      </c>
      <c r="D6" s="3">
        <f>Budget0949545964697479[[#This Row],[Actual]]-Budget0949545964697479[[#This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SUBTOTAL(109,Budget0949545964697479[Projected])</f>
        <v>0</v>
      </c>
      <c r="C7" s="5">
        <f>SUBTOTAL(109,Budget0949545964697479[Actual])</f>
        <v>0</v>
      </c>
      <c r="D7" s="5">
        <f>SUBTOTAL(109,Budget0949545964697479[Difference])</f>
        <v>0</v>
      </c>
      <c r="E7" t="s">
        <v>13</v>
      </c>
      <c r="F7" s="4">
        <f>SUBTOTAL(109,Budget0949545964697479[Slice])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SUMIFS(Budget0949545964697479[Projected], Budget0949545964697479[Category], BalanceBudget0951566166717681[[#This Row],[Category]]) -
SUMIFS(Transactions02[Projected (EUR)], Transactions02[Type], "&lt;&gt;Income", Transactions02[Category], BalanceBudget0951566166717681[[#This Row],[Category]])</f>
        <v>0</v>
      </c>
      <c r="C13" s="5">
        <f xml:space="preserve">
SUMIFS(Budget0949545964697479[Actual], Budget0949545964697479[Category], BalanceBudget0951566166717681[[#This Row],[Category]]) -
SUMIFS(Transactions02[Actual (EUR)], Transactions02[Type], "&lt;&gt;Income", Transactions02[Category], BalanceBudget0951566166717681[[#This Row],[Category]])</f>
        <v>0</v>
      </c>
      <c r="D13" s="5">
        <f>BalanceBudget0951566166717681[[#This Row],[Actual]] - BalanceBudget0951566166717681[[#This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SUMIFS(Budget0949545964697479[Projected], Budget0949545964697479[Category], BalanceBudget0951566166717681[[#This Row],[Category]]) -
SUMIFS(Transactions02[Projected (EUR)], Transactions02[Type], "&lt;&gt;Income", Transactions02[Category], BalanceBudget0951566166717681[[#This Row],[Category]])</f>
        <v>0</v>
      </c>
      <c r="C14" s="5">
        <f xml:space="preserve">
SUMIFS(Budget0949545964697479[Actual], Budget0949545964697479[Category], BalanceBudget0951566166717681[[#This Row],[Category]]) -
SUMIFS(Transactions02[Actual (EUR)], Transactions02[Type], "&lt;&gt;Income", Transactions02[Category], BalanceBudget0951566166717681[[#This Row],[Category]])</f>
        <v>0</v>
      </c>
      <c r="D14" s="5">
        <f>BalanceBudget0951566166717681[[#This Row],[Actual]] - BalanceBudget0951566166717681[[#This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SUMIFS(Budget0949545964697479[Projected], Budget0949545964697479[Category], BalanceBudget0951566166717681[[#This Row],[Category]]) -
SUMIFS(Transactions02[Projected (EUR)], Transactions02[Type], "&lt;&gt;Income", Transactions02[Category], BalanceBudget0951566166717681[[#This Row],[Category]])</f>
        <v>0</v>
      </c>
      <c r="C15" s="5">
        <f xml:space="preserve">
SUMIFS(Budget0949545964697479[Actual], Budget0949545964697479[Category], BalanceBudget0951566166717681[[#This Row],[Category]]) -
SUMIFS(Transactions02[Actual (EUR)], Transactions02[Type], "&lt;&gt;Income", Transactions02[Category], BalanceBudget0951566166717681[[#This Row],[Category]])</f>
        <v>0</v>
      </c>
      <c r="D15" s="5">
        <f>BalanceBudget0951566166717681[[#This Row],[Actual]] - BalanceBudget0951566166717681[[#This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SUBTOTAL(109,BalanceBudget0951566166717681[Projected])</f>
        <v>0</v>
      </c>
      <c r="C16" s="5">
        <f>SUBTOTAL(109,BalanceBudget0951566166717681[Actual])</f>
        <v>0</v>
      </c>
      <c r="D16" s="5">
        <f>SUBTOTAL(109,BalanceBudget0951566166717681[Difference])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SUMIFS(Transactions02[Projected], Transactions02[Currency], BalanceCurrency0952576267727782[[#This Row],[Currency]], Transactions02[Type], "Income") -
SUMIFS(Transactions02[Projected], Transactions02[Currency], BalanceCurrency0952576267727782[[#This Row],[Currency]], Transactions02[Type], "&lt;&gt;Income")</f>
        <v>0</v>
      </c>
      <c r="C22" s="5">
        <f xml:space="preserve">
SUMIFS(Transactions02[Actual], Transactions02[Currency], BalanceCurrency0952576267727782[[#This Row],[Currency]], Transactions02[Type], "Income") -
SUMIFS(Transactions02[Actual], Transactions02[Currency], BalanceCurrency0952576267727782[[#This Row],[Currency]], Transactions02[Type], "&lt;&gt;Income")</f>
        <v>0</v>
      </c>
      <c r="D22" s="5">
        <f>BalanceCurrency0952576267727782[[#This Row],[Actual]] - BalanceCurrency0952576267727782[[#This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SUMIFS(Transactions02[Projected], Transactions02[Currency], BalanceCurrency0952576267727782[[#This Row],[Currency]], Transactions02[Type], "Income") -
SUMIFS(Transactions02[Projected], Transactions02[Currency], BalanceCurrency0952576267727782[[#This Row],[Currency]], Transactions02[Type], "&lt;&gt;Income")</f>
        <v>0</v>
      </c>
      <c r="C23" s="5">
        <f xml:space="preserve">
SUMIFS(Transactions02[Actual], Transactions02[Currency], BalanceCurrency0952576267727782[[#This Row],[Currency]], Transactions02[Type], "Income") -
SUMIFS(Transactions02[Actual], Transactions02[Currency], BalanceCurrency0952576267727782[[#This Row],[Currency]], Transactions02[Type], "&lt;&gt;Income")</f>
        <v>0</v>
      </c>
      <c r="D23" s="5">
        <f>BalanceCurrency0952576267727782[[#This Row],[Actual]] - BalanceCurrency0952576267727782[[#This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SUMIFS(Transactions02[Projected], Transactions02[Currency], BalanceCurrency0952576267727782[[#This Row],[Currency]], Transactions02[Type], "Income") -
SUMIFS(Transactions02[Projected], Transactions02[Currency], BalanceCurrency0952576267727782[[#This Row],[Currency]], Transactions02[Type], "&lt;&gt;Income")</f>
        <v>0</v>
      </c>
      <c r="C24" s="5">
        <f xml:space="preserve">
SUMIFS(Transactions02[Actual], Transactions02[Currency], BalanceCurrency0952576267727782[[#This Row],[Currency]], Transactions02[Type], "Income") -
SUMIFS(Transactions02[Actual], Transactions02[Currency], BalanceCurrency0952576267727782[[#This Row],[Currency]], Transactions02[Type], "&lt;&gt;Income")</f>
        <v>0</v>
      </c>
      <c r="D24" s="5">
        <f>BalanceCurrency0952576267727782[[#This Row],[Actual]] - BalanceCurrency0952576267727782[[#This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SUMIFS(Transactions02[Projected], Transactions02[Currency], BalanceCurrency0952576267727782[[#This Row],[Currency]], Transactions02[Type], "Income") -
SUMIFS(Transactions02[Projected], Transactions02[Currency], BalanceCurrency0952576267727782[[#This Row],[Currency]], Transactions02[Type], "&lt;&gt;Income")</f>
        <v>0</v>
      </c>
      <c r="C25" s="5">
        <f xml:space="preserve">
SUMIFS(Transactions02[Actual], Transactions02[Currency], BalanceCurrency0952576267727782[[#This Row],[Currency]], Transactions02[Type], "Income") -
SUMIFS(Transactions02[Actual], Transactions02[Currency], BalanceCurrency0952576267727782[[#This Row],[Currency]], Transactions02[Type], "&lt;&gt;Income")</f>
        <v>0</v>
      </c>
      <c r="D25" s="5">
        <f>BalanceCurrency0952576267727782[[#This Row],[Actual]] - BalanceCurrency0952576267727782[[#This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SUMIFS(Transactions02[Projected], Transactions02[Currency], BalanceCurrency0952576267727782[[#This Row],[Currency]], Transactions02[Type], "Income") -
SUMIFS(Transactions02[Projected], Transactions02[Currency], BalanceCurrency0952576267727782[[#This Row],[Currency]], Transactions02[Type], "&lt;&gt;Income")</f>
        <v>0</v>
      </c>
      <c r="C26" s="5">
        <f xml:space="preserve">
SUMIFS(Transactions02[Actual], Transactions02[Currency], BalanceCurrency0952576267727782[[#This Row],[Currency]], Transactions02[Type], "Income") -
SUMIFS(Transactions02[Actual], Transactions02[Currency], BalanceCurrency0952576267727782[[#This Row],[Currency]], Transactions02[Type], "&lt;&gt;Income")</f>
        <v>0</v>
      </c>
      <c r="D26" s="5">
        <f>BalanceCurrency0952576267727782[[#This Row],[Actual]] - BalanceCurrency0952576267727782[[#This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SUMIFS(Transactions02[Projected], Transactions02[Currency], BalanceCurrency0952576267727782[[#This Row],[Currency]], Transactions02[Type], "Income") -
SUMIFS(Transactions02[Projected], Transactions02[Currency], BalanceCurrency0952576267727782[[#This Row],[Currency]], Transactions02[Type], "&lt;&gt;Income")</f>
        <v>0</v>
      </c>
      <c r="C27" s="5">
        <f xml:space="preserve">
SUMIFS(Transactions02[Actual], Transactions02[Currency], BalanceCurrency0952576267727782[[#This Row],[Currency]], Transactions02[Type], "Income") -
SUMIFS(Transactions02[Actual], Transactions02[Currency], BalanceCurrency0952576267727782[[#This Row],[Currency]], Transactions02[Type], "&lt;&gt;Income")</f>
        <v>0</v>
      </c>
      <c r="D27" s="5">
        <f>BalanceCurrency0952576267727782[[#This Row],[Actual]] - BalanceCurrency0952576267727782[[#This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SUMIFS(Transactions02[Projected (EUR)], Transactions02[Type], TransactionsSummary0950556065707580[[#This Row],[Type]], Transactions02[Category], TransactionsSummary0950556065707580[[#This Row],[Category]])</f>
        <v>0</v>
      </c>
      <c r="C33" s="3">
        <f xml:space="preserve"> SUMIFS(Transactions02[Actual (EUR)], Transactions02[Type], TransactionsSummary0950556065707580[[#This Row],[Type]], Transactions02[Category], TransactionsSummary0950556065707580[[#This Row],[Category]])</f>
        <v>0</v>
      </c>
      <c r="D33" s="3">
        <f>TransactionsSummary0950556065707580[[#This Row],[Actual]]-TransactionsSummary0950556065707580[[#This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SUMIFS(Transactions02[Projected (EUR)], Transactions02[Type], TransactionsSummary0950556065707580[[#This Row],[Type]], Transactions02[Category], TransactionsSummary0950556065707580[[#This Row],[Category]])</f>
        <v>0</v>
      </c>
      <c r="C34" s="3">
        <f xml:space="preserve"> SUMIFS(Transactions02[Actual (EUR)], Transactions02[Type], TransactionsSummary0950556065707580[[#This Row],[Type]], Transactions02[Category], TransactionsSummary0950556065707580[[#This Row],[Category]])</f>
        <v>0</v>
      </c>
      <c r="D34" s="3">
        <f>TransactionsSummary0950556065707580[[#This Row],[Actual]]-TransactionsSummary0950556065707580[[#This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SUMIFS(Transactions02[Projected (EUR)], Transactions02[Type], TransactionsSummary0950556065707580[[#This Row],[Type]], Transactions02[Category], TransactionsSummary0950556065707580[[#This Row],[Category]])</f>
        <v>0</v>
      </c>
      <c r="C35" s="3">
        <f xml:space="preserve"> SUMIFS(Transactions02[Actual (EUR)], Transactions02[Type], TransactionsSummary0950556065707580[[#This Row],[Type]], Transactions02[Category], TransactionsSummary0950556065707580[[#This Row],[Category]])</f>
        <v>0</v>
      </c>
      <c r="D35" s="3">
        <f>TransactionsSummary0950556065707580[[#This Row],[Actual]]-TransactionsSummary0950556065707580[[#This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SUMIFS(Transactions02[Projected (EUR)], Transactions02[Type], TransactionsSummary0950556065707580[[#This Row],[Type]], Transactions02[Category], TransactionsSummary0950556065707580[[#This Row],[Category]])</f>
        <v>0</v>
      </c>
      <c r="C36" s="3">
        <f xml:space="preserve"> SUMIFS(Transactions02[Actual (EUR)], Transactions02[Type], TransactionsSummary0950556065707580[[#This Row],[Type]], Transactions02[Category], TransactionsSummary0950556065707580[[#This Row],[Category]])</f>
        <v>0</v>
      </c>
      <c r="D36" s="3">
        <f>TransactionsSummary0950556065707580[[#This Row],[Actual]]-TransactionsSummary0950556065707580[[#This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SUMIFS(Transactions02[Projected (EUR)], Transactions02[Type], TransactionsSummary0950556065707580[[#This Row],[Type]], Transactions02[Category], TransactionsSummary0950556065707580[[#This Row],[Category]])</f>
        <v>0</v>
      </c>
      <c r="C37" s="3">
        <f xml:space="preserve"> SUMIFS(Transactions02[Actual (EUR)], Transactions02[Type], TransactionsSummary0950556065707580[[#This Row],[Type]], Transactions02[Category], TransactionsSummary0950556065707580[[#This Row],[Category]])</f>
        <v>0</v>
      </c>
      <c r="D37" s="3">
        <f>TransactionsSummary0950556065707580[[#This Row],[Actual]]-TransactionsSummary0950556065707580[[#This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SUMIFS(Transactions02[Projected (EUR)], Transactions02[Type], TransactionsSummary0950556065707580[[#This Row],[Type]], Transactions02[Category], TransactionsSummary0950556065707580[[#This Row],[Category]])</f>
        <v>0</v>
      </c>
      <c r="C38" s="3">
        <f xml:space="preserve"> SUMIFS(Transactions02[Actual (EUR)], Transactions02[Type], TransactionsSummary0950556065707580[[#This Row],[Type]], Transactions02[Category], TransactionsSummary0950556065707580[[#This Row],[Category]])</f>
        <v>0</v>
      </c>
      <c r="D38" s="3">
        <f>TransactionsSummary0950556065707580[[#This Row],[Actual]]-TransactionsSummary0950556065707580[[#This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SUMIFS(Transactions02[Projected (EUR)], Transactions02[Type], TransactionsSummary0950556065707580[[#This Row],[Type]], Transactions02[Category], TransactionsSummary0950556065707580[[#This Row],[Category]])</f>
        <v>0</v>
      </c>
      <c r="C39" s="3">
        <f xml:space="preserve"> SUMIFS(Transactions02[Actual (EUR)], Transactions02[Type], TransactionsSummary0950556065707580[[#This Row],[Type]], Transactions02[Category], TransactionsSummary0950556065707580[[#This Row],[Category]])</f>
        <v>0</v>
      </c>
      <c r="D39" s="3">
        <f>TransactionsSummary0950556065707580[[#This Row],[Actual]]-TransactionsSummary0950556065707580[[#This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Transactions02[[#This Row],[Actual]]-Transactions02[[#This Row],[Projected]]</f>
        <v>0</v>
      </c>
      <c r="I45" s="5" cm="1">
        <f t="array" ref="I45">CONVERT2EUR(Transactions02[[#This Row],[Currency]], Transactions02[[#This Row],[Projected]])</f>
        <v>0</v>
      </c>
      <c r="J45" s="5" cm="1">
        <f t="array" ref="J45">CONVERT2EUR(Transactions02[[#This Row],[Currency]], Transactions02[[#This Row],[Actual]])</f>
        <v>0</v>
      </c>
      <c r="K45" s="5">
        <f>Transactions02[[#This Row],[Actual (EUR)]] - Transactions02[[#This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528" priority="6" operator="greaterThan">
      <formula>0</formula>
    </cfRule>
    <cfRule type="cellIs" dxfId="527" priority="12" operator="lessThanOrEqual">
      <formula>0</formula>
    </cfRule>
  </conditionalFormatting>
  <conditionalFormatting sqref="B16:C16">
    <cfRule type="cellIs" dxfId="526" priority="11" operator="notBetween">
      <formula>-0.01</formula>
      <formula>0.01</formula>
    </cfRule>
  </conditionalFormatting>
  <conditionalFormatting sqref="B22:C27">
    <cfRule type="cellIs" dxfId="525" priority="10" operator="notBetween">
      <formula>-0.01</formula>
      <formula>0.01</formula>
    </cfRule>
  </conditionalFormatting>
  <conditionalFormatting sqref="F7">
    <cfRule type="cellIs" dxfId="524" priority="9" operator="notEqual">
      <formula>1</formula>
    </cfRule>
  </conditionalFormatting>
  <conditionalFormatting sqref="F4:F6">
    <cfRule type="containsBlanks" dxfId="523" priority="8">
      <formula>LEN(TRIM(F4))=0</formula>
    </cfRule>
  </conditionalFormatting>
  <conditionalFormatting sqref="D34:D35">
    <cfRule type="cellIs" dxfId="522" priority="2" operator="greaterThan">
      <formula>0</formula>
    </cfRule>
    <cfRule type="cellIs" dxfId="521" priority="3" operator="lessThanOrEqual">
      <formula>0</formula>
    </cfRule>
  </conditionalFormatting>
  <conditionalFormatting sqref="D33">
    <cfRule type="cellIs" dxfId="520" priority="4" operator="lessThan">
      <formula>0</formula>
    </cfRule>
    <cfRule type="cellIs" dxfId="519" priority="5" operator="greaterThanOrEqual">
      <formula>0</formula>
    </cfRule>
  </conditionalFormatting>
  <conditionalFormatting sqref="A45:C45 E45:H45">
    <cfRule type="containsBlanks" dxfId="518" priority="1">
      <formula>LEN(TRIM(A45))=0</formula>
    </cfRule>
  </conditionalFormatting>
  <conditionalFormatting sqref="B13:D14">
    <cfRule type="cellIs" dxfId="517" priority="13" operator="greaterThanOrEqual">
      <formula>0</formula>
    </cfRule>
    <cfRule type="cellIs" dxfId="516" priority="7" operator="lessThan">
      <formula>0</formula>
    </cfRule>
  </conditionalFormatting>
  <dataValidations disablePrompts="1" count="6">
    <dataValidation type="list" allowBlank="1" showInputMessage="1" showErrorMessage="1" sqref="E45 E40:E41" xr:uid="{01E55B56-5314-7343-A822-4BD7FC78B40D}">
      <formula1>"Income, Expense, Saving"</formula1>
    </dataValidation>
    <dataValidation type="list" allowBlank="1" showInputMessage="1" showErrorMessage="1" sqref="F45" xr:uid="{E2CE7FB8-D71E-4548-8AB2-C64F15FDEDF6}">
      <formula1>"Need, Want, Investment, Income"</formula1>
    </dataValidation>
    <dataValidation type="list" allowBlank="1" showInputMessage="1" showErrorMessage="1" sqref="E13:E15 E4:E6" xr:uid="{0642D9AF-32C6-FB4E-91CD-F9D7854D723C}">
      <formula1>"Need, Want, Investment"</formula1>
    </dataValidation>
    <dataValidation type="list" allowBlank="1" showInputMessage="1" showErrorMessage="1" sqref="A40:A41" xr:uid="{7DFE56C7-53CF-804F-A8CF-DFC561D9EF58}">
      <formula1>"EUR"</formula1>
    </dataValidation>
    <dataValidation type="list" allowBlank="1" showInputMessage="1" showErrorMessage="1" sqref="F40:F41" xr:uid="{F0ECCDF2-4175-9C4F-913C-600BBA77AA62}">
      <formula1>"Income, Need, Want, Investment, Any"</formula1>
    </dataValidation>
    <dataValidation type="list" allowBlank="1" showInputMessage="1" showErrorMessage="1" sqref="A45" xr:uid="{55348E33-0454-E44A-B766-03C62210048B}">
      <formula1>$A$22:$A$27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B157D-2085-8744-B137-7A056F4EF0D8}">
  <sheetPr codeName="Sheet23"/>
  <dimension ref="A1:K138"/>
  <sheetViews>
    <sheetView topLeftCell="A23" zoomScale="90" zoomScaleNormal="90" workbookViewId="0">
      <selection activeCell="H37" sqref="H37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Budget09495459646974[[#This Row],[Slice]] * SUMIFS(Transactions03[Projected (EUR)], Transactions03[Type], "Income")</f>
        <v>0</v>
      </c>
      <c r="C4" s="3">
        <f xml:space="preserve"> Budget09495459646974[[#This Row],[Slice]] * SUMIFS(Transactions03[Actual (EUR)], Transactions03[Type], "Income")</f>
        <v>0</v>
      </c>
      <c r="D4" s="3">
        <f>Budget09495459646974[[#This Row],[Actual]]-Budget09495459646974[[#This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Budget09495459646974[[#This Row],[Slice]] * SUMIFS(Transactions03[Projected (EUR)], Transactions03[Type], "Income")</f>
        <v>0</v>
      </c>
      <c r="C5" s="3">
        <f xml:space="preserve"> Budget09495459646974[[#This Row],[Slice]] * SUMIFS(Transactions03[Actual (EUR)], Transactions03[Type], "Income")</f>
        <v>0</v>
      </c>
      <c r="D5" s="3">
        <f>Budget09495459646974[[#This Row],[Actual]]-Budget09495459646974[[#This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Budget09495459646974[[#This Row],[Slice]] * SUMIFS(Transactions03[Projected (EUR)], Transactions03[Type], "Income")</f>
        <v>0</v>
      </c>
      <c r="C6" s="3">
        <f xml:space="preserve"> Budget09495459646974[[#This Row],[Slice]] * SUMIFS(Transactions03[Actual (EUR)], Transactions03[Type], "Income")</f>
        <v>0</v>
      </c>
      <c r="D6" s="3">
        <f>Budget09495459646974[[#This Row],[Actual]]-Budget09495459646974[[#This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SUBTOTAL(109,Budget09495459646974[Projected])</f>
        <v>0</v>
      </c>
      <c r="C7" s="5">
        <f>SUBTOTAL(109,Budget09495459646974[Actual])</f>
        <v>0</v>
      </c>
      <c r="D7" s="5">
        <f>SUBTOTAL(109,Budget09495459646974[Difference])</f>
        <v>0</v>
      </c>
      <c r="E7" t="s">
        <v>13</v>
      </c>
      <c r="F7" s="4">
        <f>SUBTOTAL(109,Budget09495459646974[Slice])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SUMIFS(Budget09495459646974[Projected], Budget09495459646974[Category], BalanceBudget09515661667176[[#This Row],[Category]]) -
SUMIFS(Transactions03[Projected (EUR)], Transactions03[Type], "&lt;&gt;Income", Transactions03[Category], BalanceBudget09515661667176[[#This Row],[Category]])</f>
        <v>0</v>
      </c>
      <c r="C13" s="5">
        <f xml:space="preserve">
SUMIFS(Budget09495459646974[Actual], Budget09495459646974[Category], BalanceBudget09515661667176[[#This Row],[Category]]) -
SUMIFS(Transactions03[Actual (EUR)], Transactions03[Type], "&lt;&gt;Income", Transactions03[Category], BalanceBudget09515661667176[[#This Row],[Category]])</f>
        <v>0</v>
      </c>
      <c r="D13" s="5">
        <f>BalanceBudget09515661667176[[#This Row],[Actual]] - BalanceBudget09515661667176[[#This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SUMIFS(Budget09495459646974[Projected], Budget09495459646974[Category], BalanceBudget09515661667176[[#This Row],[Category]]) -
SUMIFS(Transactions03[Projected (EUR)], Transactions03[Type], "&lt;&gt;Income", Transactions03[Category], BalanceBudget09515661667176[[#This Row],[Category]])</f>
        <v>0</v>
      </c>
      <c r="C14" s="5">
        <f xml:space="preserve">
SUMIFS(Budget09495459646974[Actual], Budget09495459646974[Category], BalanceBudget09515661667176[[#This Row],[Category]]) -
SUMIFS(Transactions03[Actual (EUR)], Transactions03[Type], "&lt;&gt;Income", Transactions03[Category], BalanceBudget09515661667176[[#This Row],[Category]])</f>
        <v>0</v>
      </c>
      <c r="D14" s="5">
        <f>BalanceBudget09515661667176[[#This Row],[Actual]] - BalanceBudget09515661667176[[#This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SUMIFS(Budget09495459646974[Projected], Budget09495459646974[Category], BalanceBudget09515661667176[[#This Row],[Category]]) -
SUMIFS(Transactions03[Projected (EUR)], Transactions03[Type], "&lt;&gt;Income", Transactions03[Category], BalanceBudget09515661667176[[#This Row],[Category]])</f>
        <v>0</v>
      </c>
      <c r="C15" s="5">
        <f xml:space="preserve">
SUMIFS(Budget09495459646974[Actual], Budget09495459646974[Category], BalanceBudget09515661667176[[#This Row],[Category]]) -
SUMIFS(Transactions03[Actual (EUR)], Transactions03[Type], "&lt;&gt;Income", Transactions03[Category], BalanceBudget09515661667176[[#This Row],[Category]])</f>
        <v>0</v>
      </c>
      <c r="D15" s="5">
        <f>BalanceBudget09515661667176[[#This Row],[Actual]] - BalanceBudget09515661667176[[#This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SUBTOTAL(109,BalanceBudget09515661667176[Projected])</f>
        <v>0</v>
      </c>
      <c r="C16" s="5">
        <f>SUBTOTAL(109,BalanceBudget09515661667176[Actual])</f>
        <v>0</v>
      </c>
      <c r="D16" s="5">
        <f>SUBTOTAL(109,BalanceBudget09515661667176[Difference])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SUMIFS(Transactions03[Projected], Transactions03[Currency], BalanceCurrency09525762677277[[#This Row],[Currency]], Transactions03[Type], "Income") -
SUMIFS(Transactions03[Projected], Transactions03[Currency], BalanceCurrency09525762677277[[#This Row],[Currency]], Transactions03[Type], "&lt;&gt;Income")</f>
        <v>0</v>
      </c>
      <c r="C22" s="5">
        <f xml:space="preserve">
SUMIFS(Transactions03[Actual], Transactions03[Currency], BalanceCurrency09525762677277[[#This Row],[Currency]], Transactions03[Type], "Income") -
SUMIFS(Transactions03[Actual], Transactions03[Currency], BalanceCurrency09525762677277[[#This Row],[Currency]], Transactions03[Type], "&lt;&gt;Income")</f>
        <v>0</v>
      </c>
      <c r="D22" s="5">
        <f>BalanceCurrency09525762677277[[#This Row],[Actual]] - BalanceCurrency09525762677277[[#This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SUMIFS(Transactions03[Projected], Transactions03[Currency], BalanceCurrency09525762677277[[#This Row],[Currency]], Transactions03[Type], "Income") -
SUMIFS(Transactions03[Projected], Transactions03[Currency], BalanceCurrency09525762677277[[#This Row],[Currency]], Transactions03[Type], "&lt;&gt;Income")</f>
        <v>0</v>
      </c>
      <c r="C23" s="5">
        <f xml:space="preserve">
SUMIFS(Transactions03[Actual], Transactions03[Currency], BalanceCurrency09525762677277[[#This Row],[Currency]], Transactions03[Type], "Income") -
SUMIFS(Transactions03[Actual], Transactions03[Currency], BalanceCurrency09525762677277[[#This Row],[Currency]], Transactions03[Type], "&lt;&gt;Income")</f>
        <v>0</v>
      </c>
      <c r="D23" s="5">
        <f>BalanceCurrency09525762677277[[#This Row],[Actual]] - BalanceCurrency09525762677277[[#This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SUMIFS(Transactions03[Projected], Transactions03[Currency], BalanceCurrency09525762677277[[#This Row],[Currency]], Transactions03[Type], "Income") -
SUMIFS(Transactions03[Projected], Transactions03[Currency], BalanceCurrency09525762677277[[#This Row],[Currency]], Transactions03[Type], "&lt;&gt;Income")</f>
        <v>0</v>
      </c>
      <c r="C24" s="5">
        <f xml:space="preserve">
SUMIFS(Transactions03[Actual], Transactions03[Currency], BalanceCurrency09525762677277[[#This Row],[Currency]], Transactions03[Type], "Income") -
SUMIFS(Transactions03[Actual], Transactions03[Currency], BalanceCurrency09525762677277[[#This Row],[Currency]], Transactions03[Type], "&lt;&gt;Income")</f>
        <v>0</v>
      </c>
      <c r="D24" s="5">
        <f>BalanceCurrency09525762677277[[#This Row],[Actual]] - BalanceCurrency09525762677277[[#This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SUMIFS(Transactions03[Projected], Transactions03[Currency], BalanceCurrency09525762677277[[#This Row],[Currency]], Transactions03[Type], "Income") -
SUMIFS(Transactions03[Projected], Transactions03[Currency], BalanceCurrency09525762677277[[#This Row],[Currency]], Transactions03[Type], "&lt;&gt;Income")</f>
        <v>0</v>
      </c>
      <c r="C25" s="5">
        <f xml:space="preserve">
SUMIFS(Transactions03[Actual], Transactions03[Currency], BalanceCurrency09525762677277[[#This Row],[Currency]], Transactions03[Type], "Income") -
SUMIFS(Transactions03[Actual], Transactions03[Currency], BalanceCurrency09525762677277[[#This Row],[Currency]], Transactions03[Type], "&lt;&gt;Income")</f>
        <v>0</v>
      </c>
      <c r="D25" s="5">
        <f>BalanceCurrency09525762677277[[#This Row],[Actual]] - BalanceCurrency09525762677277[[#This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SUMIFS(Transactions03[Projected], Transactions03[Currency], BalanceCurrency09525762677277[[#This Row],[Currency]], Transactions03[Type], "Income") -
SUMIFS(Transactions03[Projected], Transactions03[Currency], BalanceCurrency09525762677277[[#This Row],[Currency]], Transactions03[Type], "&lt;&gt;Income")</f>
        <v>0</v>
      </c>
      <c r="C26" s="5">
        <f xml:space="preserve">
SUMIFS(Transactions03[Actual], Transactions03[Currency], BalanceCurrency09525762677277[[#This Row],[Currency]], Transactions03[Type], "Income") -
SUMIFS(Transactions03[Actual], Transactions03[Currency], BalanceCurrency09525762677277[[#This Row],[Currency]], Transactions03[Type], "&lt;&gt;Income")</f>
        <v>0</v>
      </c>
      <c r="D26" s="5">
        <f>BalanceCurrency09525762677277[[#This Row],[Actual]] - BalanceCurrency09525762677277[[#This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SUMIFS(Transactions03[Projected], Transactions03[Currency], BalanceCurrency09525762677277[[#This Row],[Currency]], Transactions03[Type], "Income") -
SUMIFS(Transactions03[Projected], Transactions03[Currency], BalanceCurrency09525762677277[[#This Row],[Currency]], Transactions03[Type], "&lt;&gt;Income")</f>
        <v>0</v>
      </c>
      <c r="C27" s="5">
        <f xml:space="preserve">
SUMIFS(Transactions03[Actual], Transactions03[Currency], BalanceCurrency09525762677277[[#This Row],[Currency]], Transactions03[Type], "Income") -
SUMIFS(Transactions03[Actual], Transactions03[Currency], BalanceCurrency09525762677277[[#This Row],[Currency]], Transactions03[Type], "&lt;&gt;Income")</f>
        <v>0</v>
      </c>
      <c r="D27" s="5">
        <f>BalanceCurrency09525762677277[[#This Row],[Actual]] - BalanceCurrency09525762677277[[#This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SUMIFS(Transactions03[Projected (EUR)], Transactions03[Type], TransactionsSummary09505560657075[[#This Row],[Type]], Transactions03[Category], TransactionsSummary09505560657075[[#This Row],[Category]])</f>
        <v>0</v>
      </c>
      <c r="C33" s="3">
        <f xml:space="preserve"> SUMIFS(Transactions03[Actual (EUR)], Transactions03[Type], TransactionsSummary09505560657075[[#This Row],[Type]], Transactions03[Category], TransactionsSummary09505560657075[[#This Row],[Category]])</f>
        <v>0</v>
      </c>
      <c r="D33" s="3">
        <f>TransactionsSummary09505560657075[[#This Row],[Actual]]-TransactionsSummary09505560657075[[#This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SUMIFS(Transactions03[Projected (EUR)], Transactions03[Type], TransactionsSummary09505560657075[[#This Row],[Type]], Transactions03[Category], TransactionsSummary09505560657075[[#This Row],[Category]])</f>
        <v>0</v>
      </c>
      <c r="C34" s="3">
        <f xml:space="preserve"> SUMIFS(Transactions03[Actual (EUR)], Transactions03[Type], TransactionsSummary09505560657075[[#This Row],[Type]], Transactions03[Category], TransactionsSummary09505560657075[[#This Row],[Category]])</f>
        <v>0</v>
      </c>
      <c r="D34" s="3">
        <f>TransactionsSummary09505560657075[[#This Row],[Actual]]-TransactionsSummary09505560657075[[#This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SUMIFS(Transactions03[Projected (EUR)], Transactions03[Type], TransactionsSummary09505560657075[[#This Row],[Type]], Transactions03[Category], TransactionsSummary09505560657075[[#This Row],[Category]])</f>
        <v>0</v>
      </c>
      <c r="C35" s="3">
        <f xml:space="preserve"> SUMIFS(Transactions03[Actual (EUR)], Transactions03[Type], TransactionsSummary09505560657075[[#This Row],[Type]], Transactions03[Category], TransactionsSummary09505560657075[[#This Row],[Category]])</f>
        <v>0</v>
      </c>
      <c r="D35" s="3">
        <f>TransactionsSummary09505560657075[[#This Row],[Actual]]-TransactionsSummary09505560657075[[#This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SUMIFS(Transactions03[Projected (EUR)], Transactions03[Type], TransactionsSummary09505560657075[[#This Row],[Type]], Transactions03[Category], TransactionsSummary09505560657075[[#This Row],[Category]])</f>
        <v>0</v>
      </c>
      <c r="C36" s="3">
        <f xml:space="preserve"> SUMIFS(Transactions03[Actual (EUR)], Transactions03[Type], TransactionsSummary09505560657075[[#This Row],[Type]], Transactions03[Category], TransactionsSummary09505560657075[[#This Row],[Category]])</f>
        <v>0</v>
      </c>
      <c r="D36" s="3">
        <f>TransactionsSummary09505560657075[[#This Row],[Actual]]-TransactionsSummary09505560657075[[#This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SUMIFS(Transactions03[Projected (EUR)], Transactions03[Type], TransactionsSummary09505560657075[[#This Row],[Type]], Transactions03[Category], TransactionsSummary09505560657075[[#This Row],[Category]])</f>
        <v>0</v>
      </c>
      <c r="C37" s="3">
        <f xml:space="preserve"> SUMIFS(Transactions03[Actual (EUR)], Transactions03[Type], TransactionsSummary09505560657075[[#This Row],[Type]], Transactions03[Category], TransactionsSummary09505560657075[[#This Row],[Category]])</f>
        <v>0</v>
      </c>
      <c r="D37" s="3">
        <f>TransactionsSummary09505560657075[[#This Row],[Actual]]-TransactionsSummary09505560657075[[#This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SUMIFS(Transactions03[Projected (EUR)], Transactions03[Type], TransactionsSummary09505560657075[[#This Row],[Type]], Transactions03[Category], TransactionsSummary09505560657075[[#This Row],[Category]])</f>
        <v>0</v>
      </c>
      <c r="C38" s="3">
        <f xml:space="preserve"> SUMIFS(Transactions03[Actual (EUR)], Transactions03[Type], TransactionsSummary09505560657075[[#This Row],[Type]], Transactions03[Category], TransactionsSummary09505560657075[[#This Row],[Category]])</f>
        <v>0</v>
      </c>
      <c r="D38" s="3">
        <f>TransactionsSummary09505560657075[[#This Row],[Actual]]-TransactionsSummary09505560657075[[#This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SUMIFS(Transactions03[Projected (EUR)], Transactions03[Type], TransactionsSummary09505560657075[[#This Row],[Type]], Transactions03[Category], TransactionsSummary09505560657075[[#This Row],[Category]])</f>
        <v>0</v>
      </c>
      <c r="C39" s="3">
        <f xml:space="preserve"> SUMIFS(Transactions03[Actual (EUR)], Transactions03[Type], TransactionsSummary09505560657075[[#This Row],[Type]], Transactions03[Category], TransactionsSummary09505560657075[[#This Row],[Category]])</f>
        <v>0</v>
      </c>
      <c r="D39" s="3">
        <f>TransactionsSummary09505560657075[[#This Row],[Actual]]-TransactionsSummary09505560657075[[#This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Transactions03[[#This Row],[Actual]]-Transactions03[[#This Row],[Projected]]</f>
        <v>0</v>
      </c>
      <c r="I45" s="5" cm="1">
        <f t="array" ref="I45">CONVERT2EUR(Transactions03[[#This Row],[Currency]], Transactions03[[#This Row],[Projected]])</f>
        <v>0</v>
      </c>
      <c r="J45" s="5" cm="1">
        <f t="array" ref="J45">CONVERT2EUR(Transactions03[[#This Row],[Currency]], Transactions03[[#This Row],[Actual]])</f>
        <v>0</v>
      </c>
      <c r="K45" s="5">
        <f>Transactions03[[#This Row],[Actual (EUR)]] - Transactions03[[#This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504" priority="6" operator="greaterThan">
      <formula>0</formula>
    </cfRule>
    <cfRule type="cellIs" dxfId="503" priority="12" operator="lessThanOrEqual">
      <formula>0</formula>
    </cfRule>
  </conditionalFormatting>
  <conditionalFormatting sqref="B16:C16">
    <cfRule type="cellIs" dxfId="502" priority="11" operator="notBetween">
      <formula>-0.01</formula>
      <formula>0.01</formula>
    </cfRule>
  </conditionalFormatting>
  <conditionalFormatting sqref="B22:C27">
    <cfRule type="cellIs" dxfId="501" priority="10" operator="notBetween">
      <formula>-0.01</formula>
      <formula>0.01</formula>
    </cfRule>
  </conditionalFormatting>
  <conditionalFormatting sqref="F7">
    <cfRule type="cellIs" dxfId="500" priority="9" operator="notEqual">
      <formula>1</formula>
    </cfRule>
  </conditionalFormatting>
  <conditionalFormatting sqref="F4:F6">
    <cfRule type="containsBlanks" dxfId="499" priority="8">
      <formula>LEN(TRIM(F4))=0</formula>
    </cfRule>
  </conditionalFormatting>
  <conditionalFormatting sqref="D34:D35">
    <cfRule type="cellIs" dxfId="498" priority="2" operator="greaterThan">
      <formula>0</formula>
    </cfRule>
    <cfRule type="cellIs" dxfId="497" priority="3" operator="lessThanOrEqual">
      <formula>0</formula>
    </cfRule>
  </conditionalFormatting>
  <conditionalFormatting sqref="D33">
    <cfRule type="cellIs" dxfId="496" priority="4" operator="lessThan">
      <formula>0</formula>
    </cfRule>
    <cfRule type="cellIs" dxfId="495" priority="5" operator="greaterThanOrEqual">
      <formula>0</formula>
    </cfRule>
  </conditionalFormatting>
  <conditionalFormatting sqref="A45:C45 E45:H45">
    <cfRule type="containsBlanks" dxfId="494" priority="1">
      <formula>LEN(TRIM(A45))=0</formula>
    </cfRule>
  </conditionalFormatting>
  <conditionalFormatting sqref="B13:D14">
    <cfRule type="cellIs" dxfId="493" priority="7" operator="lessThan">
      <formula>0</formula>
    </cfRule>
    <cfRule type="cellIs" dxfId="492" priority="13" operator="greaterThanOrEqual">
      <formula>0</formula>
    </cfRule>
  </conditionalFormatting>
  <dataValidations disablePrompts="1" count="6">
    <dataValidation type="list" allowBlank="1" showInputMessage="1" showErrorMessage="1" sqref="A45" xr:uid="{0326D4BF-A5E1-4349-B317-3DF4CE28ADEC}">
      <formula1>$A$22:$A$27</formula1>
    </dataValidation>
    <dataValidation type="list" allowBlank="1" showInputMessage="1" showErrorMessage="1" sqref="F40:F41" xr:uid="{F8CDE5DE-5596-B04D-BFCC-27F1061A3E65}">
      <formula1>"Income, Need, Want, Investment, Any"</formula1>
    </dataValidation>
    <dataValidation type="list" allowBlank="1" showInputMessage="1" showErrorMessage="1" sqref="A40:A41" xr:uid="{D24363CF-90B4-724E-B32A-ADD65FD7FFD5}">
      <formula1>"EUR"</formula1>
    </dataValidation>
    <dataValidation type="list" allowBlank="1" showInputMessage="1" showErrorMessage="1" sqref="E13:E15 E4:E6" xr:uid="{B0FF20B6-231A-1F4C-86C6-1950EB5E7C01}">
      <formula1>"Need, Want, Investment"</formula1>
    </dataValidation>
    <dataValidation type="list" allowBlank="1" showInputMessage="1" showErrorMessage="1" sqref="F45" xr:uid="{13136649-5158-3149-80BA-65C9832FAEB5}">
      <formula1>"Need, Want, Investment, Income"</formula1>
    </dataValidation>
    <dataValidation type="list" allowBlank="1" showInputMessage="1" showErrorMessage="1" sqref="E45 E40:E41" xr:uid="{F4418D9F-7D2F-4145-AEB3-22E4F5BC3067}">
      <formula1>"Income, Expense, Saving"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26626-8A5B-EE46-B45F-ECD1DBBB9D96}">
  <sheetPr codeName="Sheet22"/>
  <dimension ref="A1:K138"/>
  <sheetViews>
    <sheetView topLeftCell="A10" zoomScale="90" zoomScaleNormal="90" workbookViewId="0">
      <selection activeCell="G24" sqref="G24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Budget094954596469[[#This Row],[Slice]] * SUMIFS(Transactions04[Projected (EUR)], Transactions04[Type], "Income")</f>
        <v>0</v>
      </c>
      <c r="C4" s="3">
        <f xml:space="preserve"> Budget094954596469[[#This Row],[Slice]] * SUMIFS(Transactions04[Actual (EUR)], Transactions04[Type], "Income")</f>
        <v>0</v>
      </c>
      <c r="D4" s="3">
        <f>Budget094954596469[[#This Row],[Actual]]-Budget094954596469[[#This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Budget094954596469[[#This Row],[Slice]] * SUMIFS(Transactions04[Projected (EUR)], Transactions04[Type], "Income")</f>
        <v>0</v>
      </c>
      <c r="C5" s="3">
        <f xml:space="preserve"> Budget094954596469[[#This Row],[Slice]] * SUMIFS(Transactions04[Actual (EUR)], Transactions04[Type], "Income")</f>
        <v>0</v>
      </c>
      <c r="D5" s="3">
        <f>Budget094954596469[[#This Row],[Actual]]-Budget094954596469[[#This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Budget094954596469[[#This Row],[Slice]] * SUMIFS(Transactions04[Projected (EUR)], Transactions04[Type], "Income")</f>
        <v>0</v>
      </c>
      <c r="C6" s="3">
        <f xml:space="preserve"> Budget094954596469[[#This Row],[Slice]] * SUMIFS(Transactions04[Actual (EUR)], Transactions04[Type], "Income")</f>
        <v>0</v>
      </c>
      <c r="D6" s="3">
        <f>Budget094954596469[[#This Row],[Actual]]-Budget094954596469[[#This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SUBTOTAL(109,Budget094954596469[Projected])</f>
        <v>0</v>
      </c>
      <c r="C7" s="5">
        <f>SUBTOTAL(109,Budget094954596469[Actual])</f>
        <v>0</v>
      </c>
      <c r="D7" s="5">
        <f>SUBTOTAL(109,Budget094954596469[Difference])</f>
        <v>0</v>
      </c>
      <c r="E7" t="s">
        <v>13</v>
      </c>
      <c r="F7" s="4">
        <f>SUBTOTAL(109,Budget094954596469[Slice])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SUMIFS(Budget094954596469[Projected], Budget094954596469[Category], BalanceBudget095156616671[[#This Row],[Category]]) -
SUMIFS(Transactions04[Projected (EUR)], Transactions04[Type], "&lt;&gt;Income", Transactions04[Category], BalanceBudget095156616671[[#This Row],[Category]])</f>
        <v>0</v>
      </c>
      <c r="C13" s="5">
        <f xml:space="preserve">
SUMIFS(Budget094954596469[Actual], Budget094954596469[Category], BalanceBudget095156616671[[#This Row],[Category]]) -
SUMIFS(Transactions04[Actual (EUR)], Transactions04[Type], "&lt;&gt;Income", Transactions04[Category], BalanceBudget095156616671[[#This Row],[Category]])</f>
        <v>0</v>
      </c>
      <c r="D13" s="5">
        <f>BalanceBudget095156616671[[#This Row],[Actual]] - BalanceBudget095156616671[[#This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SUMIFS(Budget094954596469[Projected], Budget094954596469[Category], BalanceBudget095156616671[[#This Row],[Category]]) -
SUMIFS(Transactions04[Projected (EUR)], Transactions04[Type], "&lt;&gt;Income", Transactions04[Category], BalanceBudget095156616671[[#This Row],[Category]])</f>
        <v>0</v>
      </c>
      <c r="C14" s="5">
        <f xml:space="preserve">
SUMIFS(Budget094954596469[Actual], Budget094954596469[Category], BalanceBudget095156616671[[#This Row],[Category]]) -
SUMIFS(Transactions04[Actual (EUR)], Transactions04[Type], "&lt;&gt;Income", Transactions04[Category], BalanceBudget095156616671[[#This Row],[Category]])</f>
        <v>0</v>
      </c>
      <c r="D14" s="5">
        <f>BalanceBudget095156616671[[#This Row],[Actual]] - BalanceBudget095156616671[[#This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SUMIFS(Budget094954596469[Projected], Budget094954596469[Category], BalanceBudget095156616671[[#This Row],[Category]]) -
SUMIFS(Transactions04[Projected (EUR)], Transactions04[Type], "&lt;&gt;Income", Transactions04[Category], BalanceBudget095156616671[[#This Row],[Category]])</f>
        <v>0</v>
      </c>
      <c r="C15" s="5">
        <f xml:space="preserve">
SUMIFS(Budget094954596469[Actual], Budget094954596469[Category], BalanceBudget095156616671[[#This Row],[Category]]) -
SUMIFS(Transactions04[Actual (EUR)], Transactions04[Type], "&lt;&gt;Income", Transactions04[Category], BalanceBudget095156616671[[#This Row],[Category]])</f>
        <v>0</v>
      </c>
      <c r="D15" s="5">
        <f>BalanceBudget095156616671[[#This Row],[Actual]] - BalanceBudget095156616671[[#This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SUBTOTAL(109,BalanceBudget095156616671[Projected])</f>
        <v>0</v>
      </c>
      <c r="C16" s="5">
        <f>SUBTOTAL(109,BalanceBudget095156616671[Actual])</f>
        <v>0</v>
      </c>
      <c r="D16" s="5">
        <f>SUBTOTAL(109,BalanceBudget095156616671[Difference])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SUMIFS(Transactions04[Projected], Transactions04[Currency], BalanceCurrency095257626772[[#This Row],[Currency]], Transactions04[Type], "Income") -
SUMIFS(Transactions04[Projected], Transactions04[Currency], BalanceCurrency095257626772[[#This Row],[Currency]], Transactions04[Type], "&lt;&gt;Income")</f>
        <v>0</v>
      </c>
      <c r="C22" s="5">
        <f xml:space="preserve">
SUMIFS(Transactions04[Actual], Transactions04[Currency], BalanceCurrency095257626772[[#This Row],[Currency]], Transactions04[Type], "Income") -
SUMIFS(Transactions04[Actual], Transactions04[Currency], BalanceCurrency095257626772[[#This Row],[Currency]], Transactions04[Type], "&lt;&gt;Income")</f>
        <v>0</v>
      </c>
      <c r="D22" s="5">
        <f>BalanceCurrency095257626772[[#This Row],[Actual]] - BalanceCurrency095257626772[[#This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SUMIFS(Transactions04[Projected], Transactions04[Currency], BalanceCurrency095257626772[[#This Row],[Currency]], Transactions04[Type], "Income") -
SUMIFS(Transactions04[Projected], Transactions04[Currency], BalanceCurrency095257626772[[#This Row],[Currency]], Transactions04[Type], "&lt;&gt;Income")</f>
        <v>0</v>
      </c>
      <c r="C23" s="5">
        <f xml:space="preserve">
SUMIFS(Transactions04[Actual], Transactions04[Currency], BalanceCurrency095257626772[[#This Row],[Currency]], Transactions04[Type], "Income") -
SUMIFS(Transactions04[Actual], Transactions04[Currency], BalanceCurrency095257626772[[#This Row],[Currency]], Transactions04[Type], "&lt;&gt;Income")</f>
        <v>0</v>
      </c>
      <c r="D23" s="5">
        <f>BalanceCurrency095257626772[[#This Row],[Actual]] - BalanceCurrency095257626772[[#This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SUMIFS(Transactions04[Projected], Transactions04[Currency], BalanceCurrency095257626772[[#This Row],[Currency]], Transactions04[Type], "Income") -
SUMIFS(Transactions04[Projected], Transactions04[Currency], BalanceCurrency095257626772[[#This Row],[Currency]], Transactions04[Type], "&lt;&gt;Income")</f>
        <v>0</v>
      </c>
      <c r="C24" s="5">
        <f xml:space="preserve">
SUMIFS(Transactions04[Actual], Transactions04[Currency], BalanceCurrency095257626772[[#This Row],[Currency]], Transactions04[Type], "Income") -
SUMIFS(Transactions04[Actual], Transactions04[Currency], BalanceCurrency095257626772[[#This Row],[Currency]], Transactions04[Type], "&lt;&gt;Income")</f>
        <v>0</v>
      </c>
      <c r="D24" s="5">
        <f>BalanceCurrency095257626772[[#This Row],[Actual]] - BalanceCurrency095257626772[[#This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SUMIFS(Transactions04[Projected], Transactions04[Currency], BalanceCurrency095257626772[[#This Row],[Currency]], Transactions04[Type], "Income") -
SUMIFS(Transactions04[Projected], Transactions04[Currency], BalanceCurrency095257626772[[#This Row],[Currency]], Transactions04[Type], "&lt;&gt;Income")</f>
        <v>0</v>
      </c>
      <c r="C25" s="5">
        <f xml:space="preserve">
SUMIFS(Transactions04[Actual], Transactions04[Currency], BalanceCurrency095257626772[[#This Row],[Currency]], Transactions04[Type], "Income") -
SUMIFS(Transactions04[Actual], Transactions04[Currency], BalanceCurrency095257626772[[#This Row],[Currency]], Transactions04[Type], "&lt;&gt;Income")</f>
        <v>0</v>
      </c>
      <c r="D25" s="5">
        <f>BalanceCurrency095257626772[[#This Row],[Actual]] - BalanceCurrency095257626772[[#This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SUMIFS(Transactions04[Projected], Transactions04[Currency], BalanceCurrency095257626772[[#This Row],[Currency]], Transactions04[Type], "Income") -
SUMIFS(Transactions04[Projected], Transactions04[Currency], BalanceCurrency095257626772[[#This Row],[Currency]], Transactions04[Type], "&lt;&gt;Income")</f>
        <v>0</v>
      </c>
      <c r="C26" s="5">
        <f xml:space="preserve">
SUMIFS(Transactions04[Actual], Transactions04[Currency], BalanceCurrency095257626772[[#This Row],[Currency]], Transactions04[Type], "Income") -
SUMIFS(Transactions04[Actual], Transactions04[Currency], BalanceCurrency095257626772[[#This Row],[Currency]], Transactions04[Type], "&lt;&gt;Income")</f>
        <v>0</v>
      </c>
      <c r="D26" s="5">
        <f>BalanceCurrency095257626772[[#This Row],[Actual]] - BalanceCurrency095257626772[[#This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SUMIFS(Transactions04[Projected], Transactions04[Currency], BalanceCurrency095257626772[[#This Row],[Currency]], Transactions04[Type], "Income") -
SUMIFS(Transactions04[Projected], Transactions04[Currency], BalanceCurrency095257626772[[#This Row],[Currency]], Transactions04[Type], "&lt;&gt;Income")</f>
        <v>0</v>
      </c>
      <c r="C27" s="5">
        <f xml:space="preserve">
SUMIFS(Transactions04[Actual], Transactions04[Currency], BalanceCurrency095257626772[[#This Row],[Currency]], Transactions04[Type], "Income") -
SUMIFS(Transactions04[Actual], Transactions04[Currency], BalanceCurrency095257626772[[#This Row],[Currency]], Transactions04[Type], "&lt;&gt;Income")</f>
        <v>0</v>
      </c>
      <c r="D27" s="5">
        <f>BalanceCurrency095257626772[[#This Row],[Actual]] - BalanceCurrency095257626772[[#This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SUMIFS(Transactions04[Projected (EUR)], Transactions04[Type], TransactionsSummary095055606570[[#This Row],[Type]], Transactions04[Category], TransactionsSummary095055606570[[#This Row],[Category]])</f>
        <v>0</v>
      </c>
      <c r="C33" s="3">
        <f xml:space="preserve"> SUMIFS(Transactions04[Actual (EUR)], Transactions04[Type], TransactionsSummary095055606570[[#This Row],[Type]], Transactions04[Category], TransactionsSummary095055606570[[#This Row],[Category]])</f>
        <v>0</v>
      </c>
      <c r="D33" s="3">
        <f>TransactionsSummary095055606570[[#This Row],[Actual]]-TransactionsSummary095055606570[[#This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SUMIFS(Transactions04[Projected (EUR)], Transactions04[Type], TransactionsSummary095055606570[[#This Row],[Type]], Transactions04[Category], TransactionsSummary095055606570[[#This Row],[Category]])</f>
        <v>0</v>
      </c>
      <c r="C34" s="3">
        <f xml:space="preserve"> SUMIFS(Transactions04[Actual (EUR)], Transactions04[Type], TransactionsSummary095055606570[[#This Row],[Type]], Transactions04[Category], TransactionsSummary095055606570[[#This Row],[Category]])</f>
        <v>0</v>
      </c>
      <c r="D34" s="3">
        <f>TransactionsSummary095055606570[[#This Row],[Actual]]-TransactionsSummary095055606570[[#This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SUMIFS(Transactions04[Projected (EUR)], Transactions04[Type], TransactionsSummary095055606570[[#This Row],[Type]], Transactions04[Category], TransactionsSummary095055606570[[#This Row],[Category]])</f>
        <v>0</v>
      </c>
      <c r="C35" s="3">
        <f xml:space="preserve"> SUMIFS(Transactions04[Actual (EUR)], Transactions04[Type], TransactionsSummary095055606570[[#This Row],[Type]], Transactions04[Category], TransactionsSummary095055606570[[#This Row],[Category]])</f>
        <v>0</v>
      </c>
      <c r="D35" s="3">
        <f>TransactionsSummary095055606570[[#This Row],[Actual]]-TransactionsSummary095055606570[[#This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SUMIFS(Transactions04[Projected (EUR)], Transactions04[Type], TransactionsSummary095055606570[[#This Row],[Type]], Transactions04[Category], TransactionsSummary095055606570[[#This Row],[Category]])</f>
        <v>0</v>
      </c>
      <c r="C36" s="3">
        <f xml:space="preserve"> SUMIFS(Transactions04[Actual (EUR)], Transactions04[Type], TransactionsSummary095055606570[[#This Row],[Type]], Transactions04[Category], TransactionsSummary095055606570[[#This Row],[Category]])</f>
        <v>0</v>
      </c>
      <c r="D36" s="3">
        <f>TransactionsSummary095055606570[[#This Row],[Actual]]-TransactionsSummary095055606570[[#This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SUMIFS(Transactions04[Projected (EUR)], Transactions04[Type], TransactionsSummary095055606570[[#This Row],[Type]], Transactions04[Category], TransactionsSummary095055606570[[#This Row],[Category]])</f>
        <v>0</v>
      </c>
      <c r="C37" s="3">
        <f xml:space="preserve"> SUMIFS(Transactions04[Actual (EUR)], Transactions04[Type], TransactionsSummary095055606570[[#This Row],[Type]], Transactions04[Category], TransactionsSummary095055606570[[#This Row],[Category]])</f>
        <v>0</v>
      </c>
      <c r="D37" s="3">
        <f>TransactionsSummary095055606570[[#This Row],[Actual]]-TransactionsSummary095055606570[[#This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SUMIFS(Transactions04[Projected (EUR)], Transactions04[Type], TransactionsSummary095055606570[[#This Row],[Type]], Transactions04[Category], TransactionsSummary095055606570[[#This Row],[Category]])</f>
        <v>0</v>
      </c>
      <c r="C38" s="3">
        <f xml:space="preserve"> SUMIFS(Transactions04[Actual (EUR)], Transactions04[Type], TransactionsSummary095055606570[[#This Row],[Type]], Transactions04[Category], TransactionsSummary095055606570[[#This Row],[Category]])</f>
        <v>0</v>
      </c>
      <c r="D38" s="3">
        <f>TransactionsSummary095055606570[[#This Row],[Actual]]-TransactionsSummary095055606570[[#This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SUMIFS(Transactions04[Projected (EUR)], Transactions04[Type], TransactionsSummary095055606570[[#This Row],[Type]], Transactions04[Category], TransactionsSummary095055606570[[#This Row],[Category]])</f>
        <v>0</v>
      </c>
      <c r="C39" s="3">
        <f xml:space="preserve"> SUMIFS(Transactions04[Actual (EUR)], Transactions04[Type], TransactionsSummary095055606570[[#This Row],[Type]], Transactions04[Category], TransactionsSummary095055606570[[#This Row],[Category]])</f>
        <v>0</v>
      </c>
      <c r="D39" s="3">
        <f>TransactionsSummary095055606570[[#This Row],[Actual]]-TransactionsSummary095055606570[[#This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Transactions04[[#This Row],[Actual]]-Transactions04[[#This Row],[Projected]]</f>
        <v>0</v>
      </c>
      <c r="I45" s="5" cm="1">
        <f t="array" ref="I45">CONVERT2EUR(Transactions04[[#This Row],[Currency]], Transactions04[[#This Row],[Projected]])</f>
        <v>0</v>
      </c>
      <c r="J45" s="5" cm="1">
        <f t="array" ref="J45">CONVERT2EUR(Transactions04[[#This Row],[Currency]], Transactions04[[#This Row],[Actual]])</f>
        <v>0</v>
      </c>
      <c r="K45" s="5">
        <f>Transactions04[[#This Row],[Actual (EUR)]] - Transactions04[[#This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480" priority="6" operator="greaterThan">
      <formula>0</formula>
    </cfRule>
    <cfRule type="cellIs" dxfId="479" priority="12" operator="lessThanOrEqual">
      <formula>0</formula>
    </cfRule>
  </conditionalFormatting>
  <conditionalFormatting sqref="B16:C16">
    <cfRule type="cellIs" dxfId="478" priority="11" operator="notBetween">
      <formula>-0.01</formula>
      <formula>0.01</formula>
    </cfRule>
  </conditionalFormatting>
  <conditionalFormatting sqref="B22:C27">
    <cfRule type="cellIs" dxfId="477" priority="10" operator="notBetween">
      <formula>-0.01</formula>
      <formula>0.01</formula>
    </cfRule>
  </conditionalFormatting>
  <conditionalFormatting sqref="F7">
    <cfRule type="cellIs" dxfId="476" priority="9" operator="notEqual">
      <formula>1</formula>
    </cfRule>
  </conditionalFormatting>
  <conditionalFormatting sqref="F4:F6">
    <cfRule type="containsBlanks" dxfId="475" priority="8">
      <formula>LEN(TRIM(F4))=0</formula>
    </cfRule>
  </conditionalFormatting>
  <conditionalFormatting sqref="D34:D35">
    <cfRule type="cellIs" dxfId="474" priority="2" operator="greaterThan">
      <formula>0</formula>
    </cfRule>
    <cfRule type="cellIs" dxfId="473" priority="3" operator="lessThanOrEqual">
      <formula>0</formula>
    </cfRule>
  </conditionalFormatting>
  <conditionalFormatting sqref="D33">
    <cfRule type="cellIs" dxfId="472" priority="4" operator="lessThan">
      <formula>0</formula>
    </cfRule>
    <cfRule type="cellIs" dxfId="471" priority="5" operator="greaterThanOrEqual">
      <formula>0</formula>
    </cfRule>
  </conditionalFormatting>
  <conditionalFormatting sqref="A45:C45 E45:H45">
    <cfRule type="containsBlanks" dxfId="470" priority="1">
      <formula>LEN(TRIM(A45))=0</formula>
    </cfRule>
  </conditionalFormatting>
  <conditionalFormatting sqref="B13:D14">
    <cfRule type="cellIs" dxfId="469" priority="7" operator="lessThan">
      <formula>0</formula>
    </cfRule>
    <cfRule type="cellIs" dxfId="468" priority="13" operator="greaterThanOrEqual">
      <formula>0</formula>
    </cfRule>
  </conditionalFormatting>
  <dataValidations disablePrompts="1" count="6">
    <dataValidation type="list" allowBlank="1" showInputMessage="1" showErrorMessage="1" sqref="E45 E40:E41" xr:uid="{1E44F6DC-B3C3-7B49-95A8-248F2E93FC2B}">
      <formula1>"Income, Expense, Saving"</formula1>
    </dataValidation>
    <dataValidation type="list" allowBlank="1" showInputMessage="1" showErrorMessage="1" sqref="F45" xr:uid="{915A0F9E-4CEE-174E-B46E-8C4DA356A126}">
      <formula1>"Need, Want, Investment, Income"</formula1>
    </dataValidation>
    <dataValidation type="list" allowBlank="1" showInputMessage="1" showErrorMessage="1" sqref="E13:E15 E4:E6" xr:uid="{5A99C048-A126-2A4E-805E-EE6970540FF6}">
      <formula1>"Need, Want, Investment"</formula1>
    </dataValidation>
    <dataValidation type="list" allowBlank="1" showInputMessage="1" showErrorMessage="1" sqref="A40:A41" xr:uid="{348848FA-905C-3344-8475-A09A46E81955}">
      <formula1>"EUR"</formula1>
    </dataValidation>
    <dataValidation type="list" allowBlank="1" showInputMessage="1" showErrorMessage="1" sqref="F40:F41" xr:uid="{70047FCD-76D5-4C47-B331-E38A602EF718}">
      <formula1>"Income, Need, Want, Investment, Any"</formula1>
    </dataValidation>
    <dataValidation type="list" allowBlank="1" showInputMessage="1" showErrorMessage="1" sqref="A45" xr:uid="{99E01D41-B9B2-8446-86A5-09E2E66115B9}">
      <formula1>$A$22:$A$27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0C359-A373-5445-B88D-4528FE7AB7CC}">
  <sheetPr codeName="Sheet21"/>
  <dimension ref="A1:K138"/>
  <sheetViews>
    <sheetView topLeftCell="A5" zoomScale="90" zoomScaleNormal="90" workbookViewId="0">
      <selection activeCell="I45" activeCellId="5" sqref="B4:D7 B13:D16 B22:D27 B33:D39 B45:D45 I45:K45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Budget0949545964[[#This Row],[Slice]] * SUMIFS(Transactions05[Projected (EUR)], Transactions05[Type], "Income")</f>
        <v>0</v>
      </c>
      <c r="C4" s="3">
        <f xml:space="preserve"> Budget0949545964[[#This Row],[Slice]] * SUMIFS(Transactions05[Actual (EUR)], Transactions05[Type], "Income")</f>
        <v>0</v>
      </c>
      <c r="D4" s="3">
        <f>Budget0949545964[[#This Row],[Actual]]-Budget0949545964[[#This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Budget0949545964[[#This Row],[Slice]] * SUMIFS(Transactions05[Projected (EUR)], Transactions05[Type], "Income")</f>
        <v>0</v>
      </c>
      <c r="C5" s="3">
        <f xml:space="preserve"> Budget0949545964[[#This Row],[Slice]] * SUMIFS(Transactions05[Actual (EUR)], Transactions05[Type], "Income")</f>
        <v>0</v>
      </c>
      <c r="D5" s="3">
        <f>Budget0949545964[[#This Row],[Actual]]-Budget0949545964[[#This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Budget0949545964[[#This Row],[Slice]] * SUMIFS(Transactions05[Projected (EUR)], Transactions05[Type], "Income")</f>
        <v>0</v>
      </c>
      <c r="C6" s="3">
        <f xml:space="preserve"> Budget0949545964[[#This Row],[Slice]] * SUMIFS(Transactions05[Actual (EUR)], Transactions05[Type], "Income")</f>
        <v>0</v>
      </c>
      <c r="D6" s="3">
        <f>Budget0949545964[[#This Row],[Actual]]-Budget0949545964[[#This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SUBTOTAL(109,Budget0949545964[Projected])</f>
        <v>0</v>
      </c>
      <c r="C7" s="5">
        <f>SUBTOTAL(109,Budget0949545964[Actual])</f>
        <v>0</v>
      </c>
      <c r="D7" s="5">
        <f>SUBTOTAL(109,Budget0949545964[Difference])</f>
        <v>0</v>
      </c>
      <c r="E7" t="s">
        <v>13</v>
      </c>
      <c r="F7" s="4">
        <f>SUBTOTAL(109,Budget0949545964[Slice])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SUMIFS(Budget0949545964[Projected], Budget0949545964[Category], BalanceBudget0951566166[[#This Row],[Category]]) -
SUMIFS(Transactions05[Projected (EUR)], Transactions05[Type], "&lt;&gt;Income", Transactions05[Category], BalanceBudget0951566166[[#This Row],[Category]])</f>
        <v>0</v>
      </c>
      <c r="C13" s="5">
        <f xml:space="preserve">
SUMIFS(Budget0949545964[Actual], Budget0949545964[Category], BalanceBudget0951566166[[#This Row],[Category]]) -
SUMIFS(Transactions05[Actual (EUR)], Transactions05[Type], "&lt;&gt;Income", Transactions05[Category], BalanceBudget0951566166[[#This Row],[Category]])</f>
        <v>0</v>
      </c>
      <c r="D13" s="5">
        <f>BalanceBudget0951566166[[#This Row],[Actual]] - BalanceBudget0951566166[[#This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SUMIFS(Budget0949545964[Projected], Budget0949545964[Category], BalanceBudget0951566166[[#This Row],[Category]]) -
SUMIFS(Transactions05[Projected (EUR)], Transactions05[Type], "&lt;&gt;Income", Transactions05[Category], BalanceBudget0951566166[[#This Row],[Category]])</f>
        <v>0</v>
      </c>
      <c r="C14" s="5">
        <f xml:space="preserve">
SUMIFS(Budget0949545964[Actual], Budget0949545964[Category], BalanceBudget0951566166[[#This Row],[Category]]) -
SUMIFS(Transactions05[Actual (EUR)], Transactions05[Type], "&lt;&gt;Income", Transactions05[Category], BalanceBudget0951566166[[#This Row],[Category]])</f>
        <v>0</v>
      </c>
      <c r="D14" s="5">
        <f>BalanceBudget0951566166[[#This Row],[Actual]] - BalanceBudget0951566166[[#This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SUMIFS(Budget0949545964[Projected], Budget0949545964[Category], BalanceBudget0951566166[[#This Row],[Category]]) -
SUMIFS(Transactions05[Projected (EUR)], Transactions05[Type], "&lt;&gt;Income", Transactions05[Category], BalanceBudget0951566166[[#This Row],[Category]])</f>
        <v>0</v>
      </c>
      <c r="C15" s="5">
        <f xml:space="preserve">
SUMIFS(Budget0949545964[Actual], Budget0949545964[Category], BalanceBudget0951566166[[#This Row],[Category]]) -
SUMIFS(Transactions05[Actual (EUR)], Transactions05[Type], "&lt;&gt;Income", Transactions05[Category], BalanceBudget0951566166[[#This Row],[Category]])</f>
        <v>0</v>
      </c>
      <c r="D15" s="5">
        <f>BalanceBudget0951566166[[#This Row],[Actual]] - BalanceBudget0951566166[[#This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SUBTOTAL(109,BalanceBudget0951566166[Projected])</f>
        <v>0</v>
      </c>
      <c r="C16" s="5">
        <f>SUBTOTAL(109,BalanceBudget0951566166[Actual])</f>
        <v>0</v>
      </c>
      <c r="D16" s="5">
        <f>SUBTOTAL(109,BalanceBudget0951566166[Difference])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SUMIFS(Transactions05[Projected], Transactions05[Currency], BalanceCurrency0952576267[[#This Row],[Currency]], Transactions05[Type], "Income") -
SUMIFS(Transactions05[Projected], Transactions05[Currency], BalanceCurrency0952576267[[#This Row],[Currency]], Transactions05[Type], "&lt;&gt;Income")</f>
        <v>0</v>
      </c>
      <c r="C22" s="5">
        <f xml:space="preserve">
SUMIFS(Transactions05[Actual], Transactions05[Currency], BalanceCurrency0952576267[[#This Row],[Currency]], Transactions05[Type], "Income") -
SUMIFS(Transactions05[Actual], Transactions05[Currency], BalanceCurrency0952576267[[#This Row],[Currency]], Transactions05[Type], "&lt;&gt;Income")</f>
        <v>0</v>
      </c>
      <c r="D22" s="5">
        <f>BalanceCurrency0952576267[[#This Row],[Actual]] - BalanceCurrency0952576267[[#This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SUMIFS(Transactions05[Projected], Transactions05[Currency], BalanceCurrency0952576267[[#This Row],[Currency]], Transactions05[Type], "Income") -
SUMIFS(Transactions05[Projected], Transactions05[Currency], BalanceCurrency0952576267[[#This Row],[Currency]], Transactions05[Type], "&lt;&gt;Income")</f>
        <v>0</v>
      </c>
      <c r="C23" s="5">
        <f xml:space="preserve">
SUMIFS(Transactions05[Actual], Transactions05[Currency], BalanceCurrency0952576267[[#This Row],[Currency]], Transactions05[Type], "Income") -
SUMIFS(Transactions05[Actual], Transactions05[Currency], BalanceCurrency0952576267[[#This Row],[Currency]], Transactions05[Type], "&lt;&gt;Income")</f>
        <v>0</v>
      </c>
      <c r="D23" s="5">
        <f>BalanceCurrency0952576267[[#This Row],[Actual]] - BalanceCurrency0952576267[[#This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SUMIFS(Transactions05[Projected], Transactions05[Currency], BalanceCurrency0952576267[[#This Row],[Currency]], Transactions05[Type], "Income") -
SUMIFS(Transactions05[Projected], Transactions05[Currency], BalanceCurrency0952576267[[#This Row],[Currency]], Transactions05[Type], "&lt;&gt;Income")</f>
        <v>0</v>
      </c>
      <c r="C24" s="5">
        <f xml:space="preserve">
SUMIFS(Transactions05[Actual], Transactions05[Currency], BalanceCurrency0952576267[[#This Row],[Currency]], Transactions05[Type], "Income") -
SUMIFS(Transactions05[Actual], Transactions05[Currency], BalanceCurrency0952576267[[#This Row],[Currency]], Transactions05[Type], "&lt;&gt;Income")</f>
        <v>0</v>
      </c>
      <c r="D24" s="5">
        <f>BalanceCurrency0952576267[[#This Row],[Actual]] - BalanceCurrency0952576267[[#This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SUMIFS(Transactions05[Projected], Transactions05[Currency], BalanceCurrency0952576267[[#This Row],[Currency]], Transactions05[Type], "Income") -
SUMIFS(Transactions05[Projected], Transactions05[Currency], BalanceCurrency0952576267[[#This Row],[Currency]], Transactions05[Type], "&lt;&gt;Income")</f>
        <v>0</v>
      </c>
      <c r="C25" s="5">
        <f xml:space="preserve">
SUMIFS(Transactions05[Actual], Transactions05[Currency], BalanceCurrency0952576267[[#This Row],[Currency]], Transactions05[Type], "Income") -
SUMIFS(Transactions05[Actual], Transactions05[Currency], BalanceCurrency0952576267[[#This Row],[Currency]], Transactions05[Type], "&lt;&gt;Income")</f>
        <v>0</v>
      </c>
      <c r="D25" s="5">
        <f>BalanceCurrency0952576267[[#This Row],[Actual]] - BalanceCurrency0952576267[[#This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SUMIFS(Transactions05[Projected], Transactions05[Currency], BalanceCurrency0952576267[[#This Row],[Currency]], Transactions05[Type], "Income") -
SUMIFS(Transactions05[Projected], Transactions05[Currency], BalanceCurrency0952576267[[#This Row],[Currency]], Transactions05[Type], "&lt;&gt;Income")</f>
        <v>0</v>
      </c>
      <c r="C26" s="5">
        <f xml:space="preserve">
SUMIFS(Transactions05[Actual], Transactions05[Currency], BalanceCurrency0952576267[[#This Row],[Currency]], Transactions05[Type], "Income") -
SUMIFS(Transactions05[Actual], Transactions05[Currency], BalanceCurrency0952576267[[#This Row],[Currency]], Transactions05[Type], "&lt;&gt;Income")</f>
        <v>0</v>
      </c>
      <c r="D26" s="5">
        <f>BalanceCurrency0952576267[[#This Row],[Actual]] - BalanceCurrency0952576267[[#This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SUMIFS(Transactions05[Projected], Transactions05[Currency], BalanceCurrency0952576267[[#This Row],[Currency]], Transactions05[Type], "Income") -
SUMIFS(Transactions05[Projected], Transactions05[Currency], BalanceCurrency0952576267[[#This Row],[Currency]], Transactions05[Type], "&lt;&gt;Income")</f>
        <v>0</v>
      </c>
      <c r="C27" s="5">
        <f xml:space="preserve">
SUMIFS(Transactions05[Actual], Transactions05[Currency], BalanceCurrency0952576267[[#This Row],[Currency]], Transactions05[Type], "Income") -
SUMIFS(Transactions05[Actual], Transactions05[Currency], BalanceCurrency0952576267[[#This Row],[Currency]], Transactions05[Type], "&lt;&gt;Income")</f>
        <v>0</v>
      </c>
      <c r="D27" s="5">
        <f>BalanceCurrency0952576267[[#This Row],[Actual]] - BalanceCurrency0952576267[[#This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SUMIFS(Transactions05[Projected (EUR)], Transactions05[Type], TransactionsSummary0950556065[[#This Row],[Type]], Transactions05[Category], TransactionsSummary0950556065[[#This Row],[Category]])</f>
        <v>0</v>
      </c>
      <c r="C33" s="3">
        <f xml:space="preserve"> SUMIFS(Transactions05[Actual (EUR)], Transactions05[Type], TransactionsSummary0950556065[[#This Row],[Type]], Transactions05[Category], TransactionsSummary0950556065[[#This Row],[Category]])</f>
        <v>0</v>
      </c>
      <c r="D33" s="3">
        <f>TransactionsSummary0950556065[[#This Row],[Actual]]-TransactionsSummary0950556065[[#This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SUMIFS(Transactions05[Projected (EUR)], Transactions05[Type], TransactionsSummary0950556065[[#This Row],[Type]], Transactions05[Category], TransactionsSummary0950556065[[#This Row],[Category]])</f>
        <v>0</v>
      </c>
      <c r="C34" s="3">
        <f xml:space="preserve"> SUMIFS(Transactions05[Actual (EUR)], Transactions05[Type], TransactionsSummary0950556065[[#This Row],[Type]], Transactions05[Category], TransactionsSummary0950556065[[#This Row],[Category]])</f>
        <v>0</v>
      </c>
      <c r="D34" s="3">
        <f>TransactionsSummary0950556065[[#This Row],[Actual]]-TransactionsSummary0950556065[[#This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SUMIFS(Transactions05[Projected (EUR)], Transactions05[Type], TransactionsSummary0950556065[[#This Row],[Type]], Transactions05[Category], TransactionsSummary0950556065[[#This Row],[Category]])</f>
        <v>0</v>
      </c>
      <c r="C35" s="3">
        <f xml:space="preserve"> SUMIFS(Transactions05[Actual (EUR)], Transactions05[Type], TransactionsSummary0950556065[[#This Row],[Type]], Transactions05[Category], TransactionsSummary0950556065[[#This Row],[Category]])</f>
        <v>0</v>
      </c>
      <c r="D35" s="3">
        <f>TransactionsSummary0950556065[[#This Row],[Actual]]-TransactionsSummary0950556065[[#This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SUMIFS(Transactions05[Projected (EUR)], Transactions05[Type], TransactionsSummary0950556065[[#This Row],[Type]], Transactions05[Category], TransactionsSummary0950556065[[#This Row],[Category]])</f>
        <v>0</v>
      </c>
      <c r="C36" s="3">
        <f xml:space="preserve"> SUMIFS(Transactions05[Actual (EUR)], Transactions05[Type], TransactionsSummary0950556065[[#This Row],[Type]], Transactions05[Category], TransactionsSummary0950556065[[#This Row],[Category]])</f>
        <v>0</v>
      </c>
      <c r="D36" s="3">
        <f>TransactionsSummary0950556065[[#This Row],[Actual]]-TransactionsSummary0950556065[[#This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SUMIFS(Transactions05[Projected (EUR)], Transactions05[Type], TransactionsSummary0950556065[[#This Row],[Type]], Transactions05[Category], TransactionsSummary0950556065[[#This Row],[Category]])</f>
        <v>0</v>
      </c>
      <c r="C37" s="3">
        <f xml:space="preserve"> SUMIFS(Transactions05[Actual (EUR)], Transactions05[Type], TransactionsSummary0950556065[[#This Row],[Type]], Transactions05[Category], TransactionsSummary0950556065[[#This Row],[Category]])</f>
        <v>0</v>
      </c>
      <c r="D37" s="3">
        <f>TransactionsSummary0950556065[[#This Row],[Actual]]-TransactionsSummary0950556065[[#This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SUMIFS(Transactions05[Projected (EUR)], Transactions05[Type], TransactionsSummary0950556065[[#This Row],[Type]], Transactions05[Category], TransactionsSummary0950556065[[#This Row],[Category]])</f>
        <v>0</v>
      </c>
      <c r="C38" s="3">
        <f xml:space="preserve"> SUMIFS(Transactions05[Actual (EUR)], Transactions05[Type], TransactionsSummary0950556065[[#This Row],[Type]], Transactions05[Category], TransactionsSummary0950556065[[#This Row],[Category]])</f>
        <v>0</v>
      </c>
      <c r="D38" s="3">
        <f>TransactionsSummary0950556065[[#This Row],[Actual]]-TransactionsSummary0950556065[[#This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SUMIFS(Transactions05[Projected (EUR)], Transactions05[Type], TransactionsSummary0950556065[[#This Row],[Type]], Transactions05[Category], TransactionsSummary0950556065[[#This Row],[Category]])</f>
        <v>0</v>
      </c>
      <c r="C39" s="3">
        <f xml:space="preserve"> SUMIFS(Transactions05[Actual (EUR)], Transactions05[Type], TransactionsSummary0950556065[[#This Row],[Type]], Transactions05[Category], TransactionsSummary0950556065[[#This Row],[Category]])</f>
        <v>0</v>
      </c>
      <c r="D39" s="3">
        <f>TransactionsSummary0950556065[[#This Row],[Actual]]-TransactionsSummary0950556065[[#This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Transactions05[[#This Row],[Actual]]-Transactions05[[#This Row],[Projected]]</f>
        <v>0</v>
      </c>
      <c r="I45" s="5" cm="1">
        <f t="array" ref="I45">CONVERT2EUR(Transactions05[[#This Row],[Currency]], Transactions05[[#This Row],[Projected]])</f>
        <v>0</v>
      </c>
      <c r="J45" s="5" cm="1">
        <f t="array" ref="J45">CONVERT2EUR(Transactions05[[#This Row],[Currency]], Transactions05[[#This Row],[Actual]])</f>
        <v>0</v>
      </c>
      <c r="K45" s="5">
        <f>Transactions05[[#This Row],[Actual (EUR)]] - Transactions05[[#This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456" priority="6" operator="greaterThan">
      <formula>0</formula>
    </cfRule>
    <cfRule type="cellIs" dxfId="455" priority="12" operator="lessThanOrEqual">
      <formula>0</formula>
    </cfRule>
  </conditionalFormatting>
  <conditionalFormatting sqref="B16:C16">
    <cfRule type="cellIs" dxfId="454" priority="11" operator="notBetween">
      <formula>-0.01</formula>
      <formula>0.01</formula>
    </cfRule>
  </conditionalFormatting>
  <conditionalFormatting sqref="B22:C27">
    <cfRule type="cellIs" dxfId="453" priority="10" operator="notBetween">
      <formula>-0.01</formula>
      <formula>0.01</formula>
    </cfRule>
  </conditionalFormatting>
  <conditionalFormatting sqref="F7">
    <cfRule type="cellIs" dxfId="452" priority="9" operator="notEqual">
      <formula>1</formula>
    </cfRule>
  </conditionalFormatting>
  <conditionalFormatting sqref="F4:F6">
    <cfRule type="containsBlanks" dxfId="451" priority="8">
      <formula>LEN(TRIM(F4))=0</formula>
    </cfRule>
  </conditionalFormatting>
  <conditionalFormatting sqref="D34:D35">
    <cfRule type="cellIs" dxfId="450" priority="2" operator="greaterThan">
      <formula>0</formula>
    </cfRule>
    <cfRule type="cellIs" dxfId="449" priority="3" operator="lessThanOrEqual">
      <formula>0</formula>
    </cfRule>
  </conditionalFormatting>
  <conditionalFormatting sqref="D33">
    <cfRule type="cellIs" dxfId="448" priority="4" operator="lessThan">
      <formula>0</formula>
    </cfRule>
    <cfRule type="cellIs" dxfId="447" priority="5" operator="greaterThanOrEqual">
      <formula>0</formula>
    </cfRule>
  </conditionalFormatting>
  <conditionalFormatting sqref="A45:C45 E45:H45">
    <cfRule type="containsBlanks" dxfId="446" priority="1">
      <formula>LEN(TRIM(A45))=0</formula>
    </cfRule>
  </conditionalFormatting>
  <conditionalFormatting sqref="B13:D14">
    <cfRule type="cellIs" dxfId="445" priority="13" operator="greaterThanOrEqual">
      <formula>0</formula>
    </cfRule>
    <cfRule type="cellIs" dxfId="444" priority="7" operator="lessThan">
      <formula>0</formula>
    </cfRule>
  </conditionalFormatting>
  <dataValidations disablePrompts="1" count="6">
    <dataValidation type="list" allowBlank="1" showInputMessage="1" showErrorMessage="1" sqref="A45" xr:uid="{5B1AFDD6-5F31-6341-97BD-91CBB83E67C5}">
      <formula1>$A$22:$A$27</formula1>
    </dataValidation>
    <dataValidation type="list" allowBlank="1" showInputMessage="1" showErrorMessage="1" sqref="F40:F41" xr:uid="{E0BBFE6F-E3E3-9848-91C8-EB30652C82B1}">
      <formula1>"Income, Need, Want, Investment, Any"</formula1>
    </dataValidation>
    <dataValidation type="list" allowBlank="1" showInputMessage="1" showErrorMessage="1" sqref="A40:A41" xr:uid="{568D45DB-85C8-0A44-811E-B7FB72BFA862}">
      <formula1>"EUR"</formula1>
    </dataValidation>
    <dataValidation type="list" allowBlank="1" showInputMessage="1" showErrorMessage="1" sqref="E13:E15 E4:E6" xr:uid="{555AE56F-9049-2042-9E95-917F3544677D}">
      <formula1>"Need, Want, Investment"</formula1>
    </dataValidation>
    <dataValidation type="list" allowBlank="1" showInputMessage="1" showErrorMessage="1" sqref="F45" xr:uid="{02653BFD-5FDC-784B-8CD3-0DDE21122E1B}">
      <formula1>"Need, Want, Investment, Income"</formula1>
    </dataValidation>
    <dataValidation type="list" allowBlank="1" showInputMessage="1" showErrorMessage="1" sqref="E45 E40:E41" xr:uid="{ED232701-9938-8441-8207-AC9DC0991E35}">
      <formula1>"Income, Expense, Saving"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AFBBD-87A9-7D48-8DC1-35B65D94613F}">
  <sheetPr codeName="Sheet20"/>
  <dimension ref="A1:K138"/>
  <sheetViews>
    <sheetView topLeftCell="A23" zoomScale="90" zoomScaleNormal="90" workbookViewId="0">
      <selection activeCell="D57" sqref="D57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Budget09495459[[#This Row],[Slice]] * SUMIFS(Transactions06[Projected (EUR)], Transactions06[Type], "Income")</f>
        <v>0</v>
      </c>
      <c r="C4" s="3">
        <f xml:space="preserve"> Budget09495459[[#This Row],[Slice]] * SUMIFS(Transactions06[Actual (EUR)], Transactions06[Type], "Income")</f>
        <v>0</v>
      </c>
      <c r="D4" s="3">
        <f>Budget09495459[[#This Row],[Actual]]-Budget09495459[[#This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Budget09495459[[#This Row],[Slice]] * SUMIFS(Transactions06[Projected (EUR)], Transactions06[Type], "Income")</f>
        <v>0</v>
      </c>
      <c r="C5" s="3">
        <f xml:space="preserve"> Budget09495459[[#This Row],[Slice]] * SUMIFS(Transactions06[Actual (EUR)], Transactions06[Type], "Income")</f>
        <v>0</v>
      </c>
      <c r="D5" s="3">
        <f>Budget09495459[[#This Row],[Actual]]-Budget09495459[[#This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Budget09495459[[#This Row],[Slice]] * SUMIFS(Transactions06[Projected (EUR)], Transactions06[Type], "Income")</f>
        <v>0</v>
      </c>
      <c r="C6" s="3">
        <f xml:space="preserve"> Budget09495459[[#This Row],[Slice]] * SUMIFS(Transactions06[Actual (EUR)], Transactions06[Type], "Income")</f>
        <v>0</v>
      </c>
      <c r="D6" s="3">
        <f>Budget09495459[[#This Row],[Actual]]-Budget09495459[[#This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SUBTOTAL(109,Budget09495459[Projected])</f>
        <v>0</v>
      </c>
      <c r="C7" s="5">
        <f>SUBTOTAL(109,Budget09495459[Actual])</f>
        <v>0</v>
      </c>
      <c r="D7" s="5">
        <f>SUBTOTAL(109,Budget09495459[Difference])</f>
        <v>0</v>
      </c>
      <c r="E7" t="s">
        <v>13</v>
      </c>
      <c r="F7" s="4">
        <f>SUBTOTAL(109,Budget09495459[Slice])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SUMIFS(Budget09495459[Projected], Budget09495459[Category], BalanceBudget09515661[[#This Row],[Category]]) -
SUMIFS(Transactions06[Projected (EUR)], Transactions06[Type], "&lt;&gt;Income", Transactions06[Category], BalanceBudget09515661[[#This Row],[Category]])</f>
        <v>0</v>
      </c>
      <c r="C13" s="5">
        <f xml:space="preserve">
SUMIFS(Budget09495459[Actual], Budget09495459[Category], BalanceBudget09515661[[#This Row],[Category]]) -
SUMIFS(Transactions06[Actual (EUR)], Transactions06[Type], "&lt;&gt;Income", Transactions06[Category], BalanceBudget09515661[[#This Row],[Category]])</f>
        <v>0</v>
      </c>
      <c r="D13" s="5">
        <f>BalanceBudget09515661[[#This Row],[Actual]] - BalanceBudget09515661[[#This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SUMIFS(Budget09495459[Projected], Budget09495459[Category], BalanceBudget09515661[[#This Row],[Category]]) -
SUMIFS(Transactions06[Projected (EUR)], Transactions06[Type], "&lt;&gt;Income", Transactions06[Category], BalanceBudget09515661[[#This Row],[Category]])</f>
        <v>0</v>
      </c>
      <c r="C14" s="5">
        <f xml:space="preserve">
SUMIFS(Budget09495459[Actual], Budget09495459[Category], BalanceBudget09515661[[#This Row],[Category]]) -
SUMIFS(Transactions06[Actual (EUR)], Transactions06[Type], "&lt;&gt;Income", Transactions06[Category], BalanceBudget09515661[[#This Row],[Category]])</f>
        <v>0</v>
      </c>
      <c r="D14" s="5">
        <f>BalanceBudget09515661[[#This Row],[Actual]] - BalanceBudget09515661[[#This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SUMIFS(Budget09495459[Projected], Budget09495459[Category], BalanceBudget09515661[[#This Row],[Category]]) -
SUMIFS(Transactions06[Projected (EUR)], Transactions06[Type], "&lt;&gt;Income", Transactions06[Category], BalanceBudget09515661[[#This Row],[Category]])</f>
        <v>0</v>
      </c>
      <c r="C15" s="5">
        <f xml:space="preserve">
SUMIFS(Budget09495459[Actual], Budget09495459[Category], BalanceBudget09515661[[#This Row],[Category]]) -
SUMIFS(Transactions06[Actual (EUR)], Transactions06[Type], "&lt;&gt;Income", Transactions06[Category], BalanceBudget09515661[[#This Row],[Category]])</f>
        <v>0</v>
      </c>
      <c r="D15" s="5">
        <f>BalanceBudget09515661[[#This Row],[Actual]] - BalanceBudget09515661[[#This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SUBTOTAL(109,BalanceBudget09515661[Projected])</f>
        <v>0</v>
      </c>
      <c r="C16" s="5">
        <f>SUBTOTAL(109,BalanceBudget09515661[Actual])</f>
        <v>0</v>
      </c>
      <c r="D16" s="5">
        <f>SUBTOTAL(109,BalanceBudget09515661[Difference])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SUMIFS(Transactions06[Projected], Transactions06[Currency], BalanceCurrency09525762[[#This Row],[Currency]], Transactions06[Type], "Income") -
SUMIFS(Transactions06[Projected], Transactions06[Currency], BalanceCurrency09525762[[#This Row],[Currency]], Transactions06[Type], "&lt;&gt;Income")</f>
        <v>0</v>
      </c>
      <c r="C22" s="5">
        <f xml:space="preserve">
SUMIFS(Transactions06[Actual], Transactions06[Currency], BalanceCurrency09525762[[#This Row],[Currency]], Transactions06[Type], "Income") -
SUMIFS(Transactions06[Actual], Transactions06[Currency], BalanceCurrency09525762[[#This Row],[Currency]], Transactions06[Type], "&lt;&gt;Income")</f>
        <v>0</v>
      </c>
      <c r="D22" s="5">
        <f>BalanceCurrency09525762[[#This Row],[Actual]] - BalanceCurrency09525762[[#This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SUMIFS(Transactions06[Projected], Transactions06[Currency], BalanceCurrency09525762[[#This Row],[Currency]], Transactions06[Type], "Income") -
SUMIFS(Transactions06[Projected], Transactions06[Currency], BalanceCurrency09525762[[#This Row],[Currency]], Transactions06[Type], "&lt;&gt;Income")</f>
        <v>0</v>
      </c>
      <c r="C23" s="5">
        <f xml:space="preserve">
SUMIFS(Transactions06[Actual], Transactions06[Currency], BalanceCurrency09525762[[#This Row],[Currency]], Transactions06[Type], "Income") -
SUMIFS(Transactions06[Actual], Transactions06[Currency], BalanceCurrency09525762[[#This Row],[Currency]], Transactions06[Type], "&lt;&gt;Income")</f>
        <v>0</v>
      </c>
      <c r="D23" s="5">
        <f>BalanceCurrency09525762[[#This Row],[Actual]] - BalanceCurrency09525762[[#This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SUMIFS(Transactions06[Projected], Transactions06[Currency], BalanceCurrency09525762[[#This Row],[Currency]], Transactions06[Type], "Income") -
SUMIFS(Transactions06[Projected], Transactions06[Currency], BalanceCurrency09525762[[#This Row],[Currency]], Transactions06[Type], "&lt;&gt;Income")</f>
        <v>0</v>
      </c>
      <c r="C24" s="5">
        <f xml:space="preserve">
SUMIFS(Transactions06[Actual], Transactions06[Currency], BalanceCurrency09525762[[#This Row],[Currency]], Transactions06[Type], "Income") -
SUMIFS(Transactions06[Actual], Transactions06[Currency], BalanceCurrency09525762[[#This Row],[Currency]], Transactions06[Type], "&lt;&gt;Income")</f>
        <v>0</v>
      </c>
      <c r="D24" s="5">
        <f>BalanceCurrency09525762[[#This Row],[Actual]] - BalanceCurrency09525762[[#This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SUMIFS(Transactions06[Projected], Transactions06[Currency], BalanceCurrency09525762[[#This Row],[Currency]], Transactions06[Type], "Income") -
SUMIFS(Transactions06[Projected], Transactions06[Currency], BalanceCurrency09525762[[#This Row],[Currency]], Transactions06[Type], "&lt;&gt;Income")</f>
        <v>0</v>
      </c>
      <c r="C25" s="5">
        <f xml:space="preserve">
SUMIFS(Transactions06[Actual], Transactions06[Currency], BalanceCurrency09525762[[#This Row],[Currency]], Transactions06[Type], "Income") -
SUMIFS(Transactions06[Actual], Transactions06[Currency], BalanceCurrency09525762[[#This Row],[Currency]], Transactions06[Type], "&lt;&gt;Income")</f>
        <v>0</v>
      </c>
      <c r="D25" s="5">
        <f>BalanceCurrency09525762[[#This Row],[Actual]] - BalanceCurrency09525762[[#This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SUMIFS(Transactions06[Projected], Transactions06[Currency], BalanceCurrency09525762[[#This Row],[Currency]], Transactions06[Type], "Income") -
SUMIFS(Transactions06[Projected], Transactions06[Currency], BalanceCurrency09525762[[#This Row],[Currency]], Transactions06[Type], "&lt;&gt;Income")</f>
        <v>0</v>
      </c>
      <c r="C26" s="5">
        <f xml:space="preserve">
SUMIFS(Transactions06[Actual], Transactions06[Currency], BalanceCurrency09525762[[#This Row],[Currency]], Transactions06[Type], "Income") -
SUMIFS(Transactions06[Actual], Transactions06[Currency], BalanceCurrency09525762[[#This Row],[Currency]], Transactions06[Type], "&lt;&gt;Income")</f>
        <v>0</v>
      </c>
      <c r="D26" s="5">
        <f>BalanceCurrency09525762[[#This Row],[Actual]] - BalanceCurrency09525762[[#This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SUMIFS(Transactions06[Projected], Transactions06[Currency], BalanceCurrency09525762[[#This Row],[Currency]], Transactions06[Type], "Income") -
SUMIFS(Transactions06[Projected], Transactions06[Currency], BalanceCurrency09525762[[#This Row],[Currency]], Transactions06[Type], "&lt;&gt;Income")</f>
        <v>0</v>
      </c>
      <c r="C27" s="5">
        <f xml:space="preserve">
SUMIFS(Transactions06[Actual], Transactions06[Currency], BalanceCurrency09525762[[#This Row],[Currency]], Transactions06[Type], "Income") -
SUMIFS(Transactions06[Actual], Transactions06[Currency], BalanceCurrency09525762[[#This Row],[Currency]], Transactions06[Type], "&lt;&gt;Income")</f>
        <v>0</v>
      </c>
      <c r="D27" s="5">
        <f>BalanceCurrency09525762[[#This Row],[Actual]] - BalanceCurrency09525762[[#This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SUMIFS(Transactions06[Projected (EUR)], Transactions06[Type], TransactionsSummary09505560[[#This Row],[Type]], Transactions06[Category], TransactionsSummary09505560[[#This Row],[Category]])</f>
        <v>0</v>
      </c>
      <c r="C33" s="3">
        <f xml:space="preserve"> SUMIFS(Transactions06[Actual (EUR)], Transactions06[Type], TransactionsSummary09505560[[#This Row],[Type]], Transactions06[Category], TransactionsSummary09505560[[#This Row],[Category]])</f>
        <v>0</v>
      </c>
      <c r="D33" s="3">
        <f>TransactionsSummary09505560[[#This Row],[Actual]]-TransactionsSummary09505560[[#This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SUMIFS(Transactions06[Projected (EUR)], Transactions06[Type], TransactionsSummary09505560[[#This Row],[Type]], Transactions06[Category], TransactionsSummary09505560[[#This Row],[Category]])</f>
        <v>0</v>
      </c>
      <c r="C34" s="3">
        <f xml:space="preserve"> SUMIFS(Transactions06[Actual (EUR)], Transactions06[Type], TransactionsSummary09505560[[#This Row],[Type]], Transactions06[Category], TransactionsSummary09505560[[#This Row],[Category]])</f>
        <v>0</v>
      </c>
      <c r="D34" s="3">
        <f>TransactionsSummary09505560[[#This Row],[Actual]]-TransactionsSummary09505560[[#This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SUMIFS(Transactions06[Projected (EUR)], Transactions06[Type], TransactionsSummary09505560[[#This Row],[Type]], Transactions06[Category], TransactionsSummary09505560[[#This Row],[Category]])</f>
        <v>0</v>
      </c>
      <c r="C35" s="3">
        <f xml:space="preserve"> SUMIFS(Transactions06[Actual (EUR)], Transactions06[Type], TransactionsSummary09505560[[#This Row],[Type]], Transactions06[Category], TransactionsSummary09505560[[#This Row],[Category]])</f>
        <v>0</v>
      </c>
      <c r="D35" s="3">
        <f>TransactionsSummary09505560[[#This Row],[Actual]]-TransactionsSummary09505560[[#This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SUMIFS(Transactions06[Projected (EUR)], Transactions06[Type], TransactionsSummary09505560[[#This Row],[Type]], Transactions06[Category], TransactionsSummary09505560[[#This Row],[Category]])</f>
        <v>0</v>
      </c>
      <c r="C36" s="3">
        <f xml:space="preserve"> SUMIFS(Transactions06[Actual (EUR)], Transactions06[Type], TransactionsSummary09505560[[#This Row],[Type]], Transactions06[Category], TransactionsSummary09505560[[#This Row],[Category]])</f>
        <v>0</v>
      </c>
      <c r="D36" s="3">
        <f>TransactionsSummary09505560[[#This Row],[Actual]]-TransactionsSummary09505560[[#This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SUMIFS(Transactions06[Projected (EUR)], Transactions06[Type], TransactionsSummary09505560[[#This Row],[Type]], Transactions06[Category], TransactionsSummary09505560[[#This Row],[Category]])</f>
        <v>0</v>
      </c>
      <c r="C37" s="3">
        <f xml:space="preserve"> SUMIFS(Transactions06[Actual (EUR)], Transactions06[Type], TransactionsSummary09505560[[#This Row],[Type]], Transactions06[Category], TransactionsSummary09505560[[#This Row],[Category]])</f>
        <v>0</v>
      </c>
      <c r="D37" s="3">
        <f>TransactionsSummary09505560[[#This Row],[Actual]]-TransactionsSummary09505560[[#This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SUMIFS(Transactions06[Projected (EUR)], Transactions06[Type], TransactionsSummary09505560[[#This Row],[Type]], Transactions06[Category], TransactionsSummary09505560[[#This Row],[Category]])</f>
        <v>0</v>
      </c>
      <c r="C38" s="3">
        <f xml:space="preserve"> SUMIFS(Transactions06[Actual (EUR)], Transactions06[Type], TransactionsSummary09505560[[#This Row],[Type]], Transactions06[Category], TransactionsSummary09505560[[#This Row],[Category]])</f>
        <v>0</v>
      </c>
      <c r="D38" s="3">
        <f>TransactionsSummary09505560[[#This Row],[Actual]]-TransactionsSummary09505560[[#This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SUMIFS(Transactions06[Projected (EUR)], Transactions06[Type], TransactionsSummary09505560[[#This Row],[Type]], Transactions06[Category], TransactionsSummary09505560[[#This Row],[Category]])</f>
        <v>0</v>
      </c>
      <c r="C39" s="3">
        <f xml:space="preserve"> SUMIFS(Transactions06[Actual (EUR)], Transactions06[Type], TransactionsSummary09505560[[#This Row],[Type]], Transactions06[Category], TransactionsSummary09505560[[#This Row],[Category]])</f>
        <v>0</v>
      </c>
      <c r="D39" s="3">
        <f>TransactionsSummary09505560[[#This Row],[Actual]]-TransactionsSummary09505560[[#This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Transactions06[[#This Row],[Actual]]-Transactions06[[#This Row],[Projected]]</f>
        <v>0</v>
      </c>
      <c r="I45" s="5" cm="1">
        <f t="array" ref="I45">CONVERT2EUR(Transactions06[[#This Row],[Currency]], Transactions06[[#This Row],[Projected]])</f>
        <v>0</v>
      </c>
      <c r="J45" s="5" cm="1">
        <f t="array" ref="J45">CONVERT2EUR(Transactions06[[#This Row],[Currency]], Transactions06[[#This Row],[Actual]])</f>
        <v>0</v>
      </c>
      <c r="K45" s="5">
        <f>Transactions06[[#This Row],[Actual (EUR)]] - Transactions06[[#This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428" priority="6" operator="greaterThan">
      <formula>0</formula>
    </cfRule>
    <cfRule type="cellIs" dxfId="427" priority="12" operator="lessThanOrEqual">
      <formula>0</formula>
    </cfRule>
  </conditionalFormatting>
  <conditionalFormatting sqref="B16:C16">
    <cfRule type="cellIs" dxfId="426" priority="11" operator="notBetween">
      <formula>-0.01</formula>
      <formula>0.01</formula>
    </cfRule>
  </conditionalFormatting>
  <conditionalFormatting sqref="B22:C27">
    <cfRule type="cellIs" dxfId="425" priority="10" operator="notBetween">
      <formula>-0.01</formula>
      <formula>0.01</formula>
    </cfRule>
  </conditionalFormatting>
  <conditionalFormatting sqref="F7">
    <cfRule type="cellIs" dxfId="424" priority="9" operator="notEqual">
      <formula>1</formula>
    </cfRule>
  </conditionalFormatting>
  <conditionalFormatting sqref="F4:F6">
    <cfRule type="containsBlanks" dxfId="423" priority="8">
      <formula>LEN(TRIM(F4))=0</formula>
    </cfRule>
  </conditionalFormatting>
  <conditionalFormatting sqref="D34:D35">
    <cfRule type="cellIs" dxfId="422" priority="2" operator="greaterThan">
      <formula>0</formula>
    </cfRule>
    <cfRule type="cellIs" dxfId="421" priority="3" operator="lessThanOrEqual">
      <formula>0</formula>
    </cfRule>
  </conditionalFormatting>
  <conditionalFormatting sqref="D33">
    <cfRule type="cellIs" dxfId="420" priority="4" operator="lessThan">
      <formula>0</formula>
    </cfRule>
    <cfRule type="cellIs" dxfId="419" priority="5" operator="greaterThanOrEqual">
      <formula>0</formula>
    </cfRule>
  </conditionalFormatting>
  <conditionalFormatting sqref="A45:C45 E45:H45">
    <cfRule type="containsBlanks" dxfId="418" priority="1">
      <formula>LEN(TRIM(A45))=0</formula>
    </cfRule>
  </conditionalFormatting>
  <conditionalFormatting sqref="B13:D14">
    <cfRule type="cellIs" dxfId="417" priority="13" operator="greaterThanOrEqual">
      <formula>0</formula>
    </cfRule>
    <cfRule type="cellIs" dxfId="416" priority="7" operator="lessThan">
      <formula>0</formula>
    </cfRule>
  </conditionalFormatting>
  <dataValidations disablePrompts="1" count="6">
    <dataValidation type="list" allowBlank="1" showInputMessage="1" showErrorMessage="1" sqref="E45 E40:E41" xr:uid="{59B25ACC-5123-A84E-8FDB-C4F801DFF014}">
      <formula1>"Income, Expense, Saving"</formula1>
    </dataValidation>
    <dataValidation type="list" allowBlank="1" showInputMessage="1" showErrorMessage="1" sqref="F45" xr:uid="{A0E2424B-C5EA-2144-915D-9C63FCA65ABB}">
      <formula1>"Need, Want, Investment, Income"</formula1>
    </dataValidation>
    <dataValidation type="list" allowBlank="1" showInputMessage="1" showErrorMessage="1" sqref="E13:E15 E4:E6" xr:uid="{CA3AFF20-D3EB-7E42-89FE-B3767FF5E03B}">
      <formula1>"Need, Want, Investment"</formula1>
    </dataValidation>
    <dataValidation type="list" allowBlank="1" showInputMessage="1" showErrorMessage="1" sqref="A40:A41" xr:uid="{99C1D0E8-440D-DC42-9E6C-267A42AE337C}">
      <formula1>"EUR"</formula1>
    </dataValidation>
    <dataValidation type="list" allowBlank="1" showInputMessage="1" showErrorMessage="1" sqref="F40:F41" xr:uid="{65F5B6D3-CBB6-5743-9FFA-81149AE6075C}">
      <formula1>"Income, Need, Want, Investment, Any"</formula1>
    </dataValidation>
    <dataValidation type="list" allowBlank="1" showInputMessage="1" showErrorMessage="1" sqref="A45" xr:uid="{3563D0FE-F6D0-D54B-B6D1-A1CD74D2F5D7}">
      <formula1>$A$22:$A$27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18CB8-2665-AB41-9C93-4EFA507B451D}">
  <sheetPr codeName="Sheet19"/>
  <dimension ref="A1:K138"/>
  <sheetViews>
    <sheetView topLeftCell="A3" zoomScale="90" zoomScaleNormal="90" workbookViewId="0">
      <selection activeCell="I45" activeCellId="5" sqref="B4:D7 B13:D16 B22:D27 B33:D39 B45:D45 I45:K45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Budget094954[[#This Row],[Slice]] * SUMIFS(Transactions07[Projected (EUR)], Transactions07[Type], "Income")</f>
        <v>0</v>
      </c>
      <c r="C4" s="3">
        <f xml:space="preserve"> Budget094954[[#This Row],[Slice]] * SUMIFS(Transactions07[Actual (EUR)], Transactions07[Type], "Income")</f>
        <v>0</v>
      </c>
      <c r="D4" s="3">
        <f>Budget094954[[#This Row],[Actual]]-Budget094954[[#This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Budget094954[[#This Row],[Slice]] * SUMIFS(Transactions07[Projected (EUR)], Transactions07[Type], "Income")</f>
        <v>0</v>
      </c>
      <c r="C5" s="3">
        <f xml:space="preserve"> Budget094954[[#This Row],[Slice]] * SUMIFS(Transactions07[Actual (EUR)], Transactions07[Type], "Income")</f>
        <v>0</v>
      </c>
      <c r="D5" s="3">
        <f>Budget094954[[#This Row],[Actual]]-Budget094954[[#This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Budget094954[[#This Row],[Slice]] * SUMIFS(Transactions07[Projected (EUR)], Transactions07[Type], "Income")</f>
        <v>0</v>
      </c>
      <c r="C6" s="3">
        <f xml:space="preserve"> Budget094954[[#This Row],[Slice]] * SUMIFS(Transactions07[Actual (EUR)], Transactions07[Type], "Income")</f>
        <v>0</v>
      </c>
      <c r="D6" s="3">
        <f>Budget094954[[#This Row],[Actual]]-Budget094954[[#This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SUBTOTAL(109,Budget094954[Projected])</f>
        <v>0</v>
      </c>
      <c r="C7" s="5">
        <f>SUBTOTAL(109,Budget094954[Actual])</f>
        <v>0</v>
      </c>
      <c r="D7" s="5">
        <f>SUBTOTAL(109,Budget094954[Difference])</f>
        <v>0</v>
      </c>
      <c r="E7" t="s">
        <v>13</v>
      </c>
      <c r="F7" s="4">
        <f>SUBTOTAL(109,Budget094954[Slice])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SUMIFS(Budget094954[Projected], Budget094954[Category], BalanceBudget095156[[#This Row],[Category]]) -
SUMIFS(Transactions07[Projected (EUR)], Transactions07[Type], "&lt;&gt;Income", Transactions07[Category], BalanceBudget095156[[#This Row],[Category]])</f>
        <v>0</v>
      </c>
      <c r="C13" s="5">
        <f xml:space="preserve">
SUMIFS(Budget094954[Actual], Budget094954[Category], BalanceBudget095156[[#This Row],[Category]]) -
SUMIFS(Transactions07[Actual (EUR)], Transactions07[Type], "&lt;&gt;Income", Transactions07[Category], BalanceBudget095156[[#This Row],[Category]])</f>
        <v>0</v>
      </c>
      <c r="D13" s="5">
        <f>BalanceBudget095156[[#This Row],[Actual]] - BalanceBudget095156[[#This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SUMIFS(Budget094954[Projected], Budget094954[Category], BalanceBudget095156[[#This Row],[Category]]) -
SUMIFS(Transactions07[Projected (EUR)], Transactions07[Type], "&lt;&gt;Income", Transactions07[Category], BalanceBudget095156[[#This Row],[Category]])</f>
        <v>0</v>
      </c>
      <c r="C14" s="5">
        <f xml:space="preserve">
SUMIFS(Budget094954[Actual], Budget094954[Category], BalanceBudget095156[[#This Row],[Category]]) -
SUMIFS(Transactions07[Actual (EUR)], Transactions07[Type], "&lt;&gt;Income", Transactions07[Category], BalanceBudget095156[[#This Row],[Category]])</f>
        <v>0</v>
      </c>
      <c r="D14" s="5">
        <f>BalanceBudget095156[[#This Row],[Actual]] - BalanceBudget095156[[#This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SUMIFS(Budget094954[Projected], Budget094954[Category], BalanceBudget095156[[#This Row],[Category]]) -
SUMIFS(Transactions07[Projected (EUR)], Transactions07[Type], "&lt;&gt;Income", Transactions07[Category], BalanceBudget095156[[#This Row],[Category]])</f>
        <v>0</v>
      </c>
      <c r="C15" s="5">
        <f xml:space="preserve">
SUMIFS(Budget094954[Actual], Budget094954[Category], BalanceBudget095156[[#This Row],[Category]]) -
SUMIFS(Transactions07[Actual (EUR)], Transactions07[Type], "&lt;&gt;Income", Transactions07[Category], BalanceBudget095156[[#This Row],[Category]])</f>
        <v>0</v>
      </c>
      <c r="D15" s="5">
        <f>BalanceBudget095156[[#This Row],[Actual]] - BalanceBudget095156[[#This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SUBTOTAL(109,BalanceBudget095156[Projected])</f>
        <v>0</v>
      </c>
      <c r="C16" s="5">
        <f>SUBTOTAL(109,BalanceBudget095156[Actual])</f>
        <v>0</v>
      </c>
      <c r="D16" s="5">
        <f>SUBTOTAL(109,BalanceBudget095156[Difference])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SUMIFS(Transactions07[Projected], Transactions07[Currency], BalanceCurrency095257[[#This Row],[Currency]], Transactions07[Type], "Income") -
SUMIFS(Transactions07[Projected], Transactions07[Currency], BalanceCurrency095257[[#This Row],[Currency]], Transactions07[Type], "&lt;&gt;Income")</f>
        <v>0</v>
      </c>
      <c r="C22" s="5">
        <f xml:space="preserve">
SUMIFS(Transactions07[Actual], Transactions07[Currency], BalanceCurrency095257[[#This Row],[Currency]], Transactions07[Type], "Income") -
SUMIFS(Transactions07[Actual], Transactions07[Currency], BalanceCurrency095257[[#This Row],[Currency]], Transactions07[Type], "&lt;&gt;Income")</f>
        <v>0</v>
      </c>
      <c r="D22" s="5">
        <f>BalanceCurrency095257[[#This Row],[Actual]] - BalanceCurrency095257[[#This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SUMIFS(Transactions07[Projected], Transactions07[Currency], BalanceCurrency095257[[#This Row],[Currency]], Transactions07[Type], "Income") -
SUMIFS(Transactions07[Projected], Transactions07[Currency], BalanceCurrency095257[[#This Row],[Currency]], Transactions07[Type], "&lt;&gt;Income")</f>
        <v>0</v>
      </c>
      <c r="C23" s="5">
        <f xml:space="preserve">
SUMIFS(Transactions07[Actual], Transactions07[Currency], BalanceCurrency095257[[#This Row],[Currency]], Transactions07[Type], "Income") -
SUMIFS(Transactions07[Actual], Transactions07[Currency], BalanceCurrency095257[[#This Row],[Currency]], Transactions07[Type], "&lt;&gt;Income")</f>
        <v>0</v>
      </c>
      <c r="D23" s="5">
        <f>BalanceCurrency095257[[#This Row],[Actual]] - BalanceCurrency095257[[#This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SUMIFS(Transactions07[Projected], Transactions07[Currency], BalanceCurrency095257[[#This Row],[Currency]], Transactions07[Type], "Income") -
SUMIFS(Transactions07[Projected], Transactions07[Currency], BalanceCurrency095257[[#This Row],[Currency]], Transactions07[Type], "&lt;&gt;Income")</f>
        <v>0</v>
      </c>
      <c r="C24" s="5">
        <f xml:space="preserve">
SUMIFS(Transactions07[Actual], Transactions07[Currency], BalanceCurrency095257[[#This Row],[Currency]], Transactions07[Type], "Income") -
SUMIFS(Transactions07[Actual], Transactions07[Currency], BalanceCurrency095257[[#This Row],[Currency]], Transactions07[Type], "&lt;&gt;Income")</f>
        <v>0</v>
      </c>
      <c r="D24" s="5">
        <f>BalanceCurrency095257[[#This Row],[Actual]] - BalanceCurrency095257[[#This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SUMIFS(Transactions07[Projected], Transactions07[Currency], BalanceCurrency095257[[#This Row],[Currency]], Transactions07[Type], "Income") -
SUMIFS(Transactions07[Projected], Transactions07[Currency], BalanceCurrency095257[[#This Row],[Currency]], Transactions07[Type], "&lt;&gt;Income")</f>
        <v>0</v>
      </c>
      <c r="C25" s="5">
        <f xml:space="preserve">
SUMIFS(Transactions07[Actual], Transactions07[Currency], BalanceCurrency095257[[#This Row],[Currency]], Transactions07[Type], "Income") -
SUMIFS(Transactions07[Actual], Transactions07[Currency], BalanceCurrency095257[[#This Row],[Currency]], Transactions07[Type], "&lt;&gt;Income")</f>
        <v>0</v>
      </c>
      <c r="D25" s="5">
        <f>BalanceCurrency095257[[#This Row],[Actual]] - BalanceCurrency095257[[#This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SUMIFS(Transactions07[Projected], Transactions07[Currency], BalanceCurrency095257[[#This Row],[Currency]], Transactions07[Type], "Income") -
SUMIFS(Transactions07[Projected], Transactions07[Currency], BalanceCurrency095257[[#This Row],[Currency]], Transactions07[Type], "&lt;&gt;Income")</f>
        <v>0</v>
      </c>
      <c r="C26" s="5">
        <f xml:space="preserve">
SUMIFS(Transactions07[Actual], Transactions07[Currency], BalanceCurrency095257[[#This Row],[Currency]], Transactions07[Type], "Income") -
SUMIFS(Transactions07[Actual], Transactions07[Currency], BalanceCurrency095257[[#This Row],[Currency]], Transactions07[Type], "&lt;&gt;Income")</f>
        <v>0</v>
      </c>
      <c r="D26" s="5">
        <f>BalanceCurrency095257[[#This Row],[Actual]] - BalanceCurrency095257[[#This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SUMIFS(Transactions07[Projected], Transactions07[Currency], BalanceCurrency095257[[#This Row],[Currency]], Transactions07[Type], "Income") -
SUMIFS(Transactions07[Projected], Transactions07[Currency], BalanceCurrency095257[[#This Row],[Currency]], Transactions07[Type], "&lt;&gt;Income")</f>
        <v>0</v>
      </c>
      <c r="C27" s="5">
        <f xml:space="preserve">
SUMIFS(Transactions07[Actual], Transactions07[Currency], BalanceCurrency095257[[#This Row],[Currency]], Transactions07[Type], "Income") -
SUMIFS(Transactions07[Actual], Transactions07[Currency], BalanceCurrency095257[[#This Row],[Currency]], Transactions07[Type], "&lt;&gt;Income")</f>
        <v>0</v>
      </c>
      <c r="D27" s="5">
        <f>BalanceCurrency095257[[#This Row],[Actual]] - BalanceCurrency095257[[#This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SUMIFS(Transactions07[Projected (EUR)], Transactions07[Type], TransactionsSummary095055[[#This Row],[Type]], Transactions07[Category], TransactionsSummary095055[[#This Row],[Category]])</f>
        <v>0</v>
      </c>
      <c r="C33" s="3">
        <f xml:space="preserve"> SUMIFS(Transactions07[Actual (EUR)], Transactions07[Type], TransactionsSummary095055[[#This Row],[Type]], Transactions07[Category], TransactionsSummary095055[[#This Row],[Category]])</f>
        <v>0</v>
      </c>
      <c r="D33" s="3">
        <f>TransactionsSummary095055[[#This Row],[Actual]]-TransactionsSummary095055[[#This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SUMIFS(Transactions07[Projected (EUR)], Transactions07[Type], TransactionsSummary095055[[#This Row],[Type]], Transactions07[Category], TransactionsSummary095055[[#This Row],[Category]])</f>
        <v>0</v>
      </c>
      <c r="C34" s="3">
        <f xml:space="preserve"> SUMIFS(Transactions07[Actual (EUR)], Transactions07[Type], TransactionsSummary095055[[#This Row],[Type]], Transactions07[Category], TransactionsSummary095055[[#This Row],[Category]])</f>
        <v>0</v>
      </c>
      <c r="D34" s="3">
        <f>TransactionsSummary095055[[#This Row],[Actual]]-TransactionsSummary095055[[#This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SUMIFS(Transactions07[Projected (EUR)], Transactions07[Type], TransactionsSummary095055[[#This Row],[Type]], Transactions07[Category], TransactionsSummary095055[[#This Row],[Category]])</f>
        <v>0</v>
      </c>
      <c r="C35" s="3">
        <f xml:space="preserve"> SUMIFS(Transactions07[Actual (EUR)], Transactions07[Type], TransactionsSummary095055[[#This Row],[Type]], Transactions07[Category], TransactionsSummary095055[[#This Row],[Category]])</f>
        <v>0</v>
      </c>
      <c r="D35" s="3">
        <f>TransactionsSummary095055[[#This Row],[Actual]]-TransactionsSummary095055[[#This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SUMIFS(Transactions07[Projected (EUR)], Transactions07[Type], TransactionsSummary095055[[#This Row],[Type]], Transactions07[Category], TransactionsSummary095055[[#This Row],[Category]])</f>
        <v>0</v>
      </c>
      <c r="C36" s="3">
        <f xml:space="preserve"> SUMIFS(Transactions07[Actual (EUR)], Transactions07[Type], TransactionsSummary095055[[#This Row],[Type]], Transactions07[Category], TransactionsSummary095055[[#This Row],[Category]])</f>
        <v>0</v>
      </c>
      <c r="D36" s="3">
        <f>TransactionsSummary095055[[#This Row],[Actual]]-TransactionsSummary095055[[#This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SUMIFS(Transactions07[Projected (EUR)], Transactions07[Type], TransactionsSummary095055[[#This Row],[Type]], Transactions07[Category], TransactionsSummary095055[[#This Row],[Category]])</f>
        <v>0</v>
      </c>
      <c r="C37" s="3">
        <f xml:space="preserve"> SUMIFS(Transactions07[Actual (EUR)], Transactions07[Type], TransactionsSummary095055[[#This Row],[Type]], Transactions07[Category], TransactionsSummary095055[[#This Row],[Category]])</f>
        <v>0</v>
      </c>
      <c r="D37" s="3">
        <f>TransactionsSummary095055[[#This Row],[Actual]]-TransactionsSummary095055[[#This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SUMIFS(Transactions07[Projected (EUR)], Transactions07[Type], TransactionsSummary095055[[#This Row],[Type]], Transactions07[Category], TransactionsSummary095055[[#This Row],[Category]])</f>
        <v>0</v>
      </c>
      <c r="C38" s="3">
        <f xml:space="preserve"> SUMIFS(Transactions07[Actual (EUR)], Transactions07[Type], TransactionsSummary095055[[#This Row],[Type]], Transactions07[Category], TransactionsSummary095055[[#This Row],[Category]])</f>
        <v>0</v>
      </c>
      <c r="D38" s="3">
        <f>TransactionsSummary095055[[#This Row],[Actual]]-TransactionsSummary095055[[#This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SUMIFS(Transactions07[Projected (EUR)], Transactions07[Type], TransactionsSummary095055[[#This Row],[Type]], Transactions07[Category], TransactionsSummary095055[[#This Row],[Category]])</f>
        <v>0</v>
      </c>
      <c r="C39" s="3">
        <f xml:space="preserve"> SUMIFS(Transactions07[Actual (EUR)], Transactions07[Type], TransactionsSummary095055[[#This Row],[Type]], Transactions07[Category], TransactionsSummary095055[[#This Row],[Category]])</f>
        <v>0</v>
      </c>
      <c r="D39" s="3">
        <f>TransactionsSummary095055[[#This Row],[Actual]]-TransactionsSummary095055[[#This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Transactions07[[#This Row],[Actual]]-Transactions07[[#This Row],[Projected]]</f>
        <v>0</v>
      </c>
      <c r="I45" s="5" cm="1">
        <f t="array" ref="I45">CONVERT2EUR(Transactions07[[#This Row],[Currency]], Transactions07[[#This Row],[Projected]])</f>
        <v>0</v>
      </c>
      <c r="J45" s="5" cm="1">
        <f t="array" ref="J45">CONVERT2EUR(Transactions07[[#This Row],[Currency]], Transactions07[[#This Row],[Actual]])</f>
        <v>0</v>
      </c>
      <c r="K45" s="5">
        <f>Transactions07[[#This Row],[Actual (EUR)]] - Transactions07[[#This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404" priority="6" operator="greaterThan">
      <formula>0</formula>
    </cfRule>
    <cfRule type="cellIs" dxfId="403" priority="12" operator="lessThanOrEqual">
      <formula>0</formula>
    </cfRule>
  </conditionalFormatting>
  <conditionalFormatting sqref="B16:C16">
    <cfRule type="cellIs" dxfId="402" priority="11" operator="notBetween">
      <formula>-0.01</formula>
      <formula>0.01</formula>
    </cfRule>
  </conditionalFormatting>
  <conditionalFormatting sqref="B22:C27">
    <cfRule type="cellIs" dxfId="401" priority="10" operator="notBetween">
      <formula>-0.01</formula>
      <formula>0.01</formula>
    </cfRule>
  </conditionalFormatting>
  <conditionalFormatting sqref="F7">
    <cfRule type="cellIs" dxfId="400" priority="9" operator="notEqual">
      <formula>1</formula>
    </cfRule>
  </conditionalFormatting>
  <conditionalFormatting sqref="F4:F6">
    <cfRule type="containsBlanks" dxfId="399" priority="8">
      <formula>LEN(TRIM(F4))=0</formula>
    </cfRule>
  </conditionalFormatting>
  <conditionalFormatting sqref="D34:D35">
    <cfRule type="cellIs" dxfId="398" priority="2" operator="greaterThan">
      <formula>0</formula>
    </cfRule>
    <cfRule type="cellIs" dxfId="397" priority="3" operator="lessThanOrEqual">
      <formula>0</formula>
    </cfRule>
  </conditionalFormatting>
  <conditionalFormatting sqref="D33">
    <cfRule type="cellIs" dxfId="396" priority="4" operator="lessThan">
      <formula>0</formula>
    </cfRule>
    <cfRule type="cellIs" dxfId="395" priority="5" operator="greaterThanOrEqual">
      <formula>0</formula>
    </cfRule>
  </conditionalFormatting>
  <conditionalFormatting sqref="A45:C45 E45:H45">
    <cfRule type="containsBlanks" dxfId="394" priority="1">
      <formula>LEN(TRIM(A45))=0</formula>
    </cfRule>
  </conditionalFormatting>
  <conditionalFormatting sqref="B13:D14">
    <cfRule type="cellIs" dxfId="393" priority="7" operator="lessThan">
      <formula>0</formula>
    </cfRule>
    <cfRule type="cellIs" dxfId="392" priority="13" operator="greaterThanOrEqual">
      <formula>0</formula>
    </cfRule>
  </conditionalFormatting>
  <dataValidations disablePrompts="1" count="6">
    <dataValidation type="list" allowBlank="1" showInputMessage="1" showErrorMessage="1" sqref="A45" xr:uid="{6942CA85-AE4C-AF42-B85B-9E93A0008399}">
      <formula1>$A$22:$A$27</formula1>
    </dataValidation>
    <dataValidation type="list" allowBlank="1" showInputMessage="1" showErrorMessage="1" sqref="F40:F41" xr:uid="{CC42A943-7F96-3E49-BD85-62D98B1A5278}">
      <formula1>"Income, Need, Want, Investment, Any"</formula1>
    </dataValidation>
    <dataValidation type="list" allowBlank="1" showInputMessage="1" showErrorMessage="1" sqref="A40:A41" xr:uid="{A32FB615-F157-4C4A-BAED-066DFFAFDFB6}">
      <formula1>"EUR"</formula1>
    </dataValidation>
    <dataValidation type="list" allowBlank="1" showInputMessage="1" showErrorMessage="1" sqref="E13:E15 E4:E6" xr:uid="{86FD03AF-ACC0-6C4C-A9E7-777AF1FDDD6C}">
      <formula1>"Need, Want, Investment"</formula1>
    </dataValidation>
    <dataValidation type="list" allowBlank="1" showInputMessage="1" showErrorMessage="1" sqref="F45" xr:uid="{8C50C627-5377-F84A-8029-7951822304EB}">
      <formula1>"Need, Want, Investment, Income"</formula1>
    </dataValidation>
    <dataValidation type="list" allowBlank="1" showInputMessage="1" showErrorMessage="1" sqref="E45 E40:E41" xr:uid="{6905CCE8-73E0-A249-B9EA-CFDC554A984A}">
      <formula1>"Income, Expense, Saving"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B2FF4-C99D-CE44-9A9C-778CD9DA927C}">
  <sheetPr codeName="Sheet18"/>
  <dimension ref="A1:K138"/>
  <sheetViews>
    <sheetView topLeftCell="A23" zoomScale="90" zoomScaleNormal="90" workbookViewId="0">
      <selection activeCell="H36" sqref="H36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Budget0949[[#This Row],[Slice]] * SUMIFS(Transactions08[Projected (EUR)], Transactions08[Type], "Income")</f>
        <v>0</v>
      </c>
      <c r="C4" s="3">
        <f xml:space="preserve"> Budget0949[[#This Row],[Slice]] * SUMIFS(Transactions08[Actual (EUR)], Transactions08[Type], "Income")</f>
        <v>0</v>
      </c>
      <c r="D4" s="3">
        <f>Budget0949[[#This Row],[Actual]]-Budget0949[[#This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Budget0949[[#This Row],[Slice]] * SUMIFS(Transactions08[Projected (EUR)], Transactions08[Type], "Income")</f>
        <v>0</v>
      </c>
      <c r="C5" s="3">
        <f xml:space="preserve"> Budget0949[[#This Row],[Slice]] * SUMIFS(Transactions08[Actual (EUR)], Transactions08[Type], "Income")</f>
        <v>0</v>
      </c>
      <c r="D5" s="3">
        <f>Budget0949[[#This Row],[Actual]]-Budget0949[[#This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Budget0949[[#This Row],[Slice]] * SUMIFS(Transactions08[Projected (EUR)], Transactions08[Type], "Income")</f>
        <v>0</v>
      </c>
      <c r="C6" s="3">
        <f xml:space="preserve"> Budget0949[[#This Row],[Slice]] * SUMIFS(Transactions08[Actual (EUR)], Transactions08[Type], "Income")</f>
        <v>0</v>
      </c>
      <c r="D6" s="3">
        <f>Budget0949[[#This Row],[Actual]]-Budget0949[[#This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SUBTOTAL(109,Budget0949[Projected])</f>
        <v>0</v>
      </c>
      <c r="C7" s="5">
        <f>SUBTOTAL(109,Budget0949[Actual])</f>
        <v>0</v>
      </c>
      <c r="D7" s="5">
        <f>SUBTOTAL(109,Budget0949[Difference])</f>
        <v>0</v>
      </c>
      <c r="E7" t="s">
        <v>13</v>
      </c>
      <c r="F7" s="4">
        <f>SUBTOTAL(109,Budget0949[Slice])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SUMIFS(Budget0949[Projected], Budget0949[Category], BalanceBudget0951[[#This Row],[Category]]) -
SUMIFS(Transactions08[Projected (EUR)], Transactions08[Type], "&lt;&gt;Income", Transactions08[Category], BalanceBudget0951[[#This Row],[Category]])</f>
        <v>0</v>
      </c>
      <c r="C13" s="5">
        <f xml:space="preserve">
SUMIFS(Budget0949[Actual], Budget0949[Category], BalanceBudget0951[[#This Row],[Category]]) -
SUMIFS(Transactions08[Actual (EUR)], Transactions08[Type], "&lt;&gt;Income", Transactions08[Category], BalanceBudget0951[[#This Row],[Category]])</f>
        <v>0</v>
      </c>
      <c r="D13" s="5">
        <f>BalanceBudget0951[[#This Row],[Actual]] - BalanceBudget0951[[#This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SUMIFS(Budget0949[Projected], Budget0949[Category], BalanceBudget0951[[#This Row],[Category]]) -
SUMIFS(Transactions08[Projected (EUR)], Transactions08[Type], "&lt;&gt;Income", Transactions08[Category], BalanceBudget0951[[#This Row],[Category]])</f>
        <v>0</v>
      </c>
      <c r="C14" s="5">
        <f xml:space="preserve">
SUMIFS(Budget0949[Actual], Budget0949[Category], BalanceBudget0951[[#This Row],[Category]]) -
SUMIFS(Transactions08[Actual (EUR)], Transactions08[Type], "&lt;&gt;Income", Transactions08[Category], BalanceBudget0951[[#This Row],[Category]])</f>
        <v>0</v>
      </c>
      <c r="D14" s="5">
        <f>BalanceBudget0951[[#This Row],[Actual]] - BalanceBudget0951[[#This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SUMIFS(Budget0949[Projected], Budget0949[Category], BalanceBudget0951[[#This Row],[Category]]) -
SUMIFS(Transactions08[Projected (EUR)], Transactions08[Type], "&lt;&gt;Income", Transactions08[Category], BalanceBudget0951[[#This Row],[Category]])</f>
        <v>0</v>
      </c>
      <c r="C15" s="5">
        <f xml:space="preserve">
SUMIFS(Budget0949[Actual], Budget0949[Category], BalanceBudget0951[[#This Row],[Category]]) -
SUMIFS(Transactions08[Actual (EUR)], Transactions08[Type], "&lt;&gt;Income", Transactions08[Category], BalanceBudget0951[[#This Row],[Category]])</f>
        <v>0</v>
      </c>
      <c r="D15" s="5">
        <f>BalanceBudget0951[[#This Row],[Actual]] - BalanceBudget0951[[#This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SUBTOTAL(109,BalanceBudget0951[Projected])</f>
        <v>0</v>
      </c>
      <c r="C16" s="5">
        <f>SUBTOTAL(109,BalanceBudget0951[Actual])</f>
        <v>0</v>
      </c>
      <c r="D16" s="5">
        <f>SUBTOTAL(109,BalanceBudget0951[Difference])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SUMIFS(Transactions08[Projected], Transactions08[Currency], BalanceCurrency0952[[#This Row],[Currency]], Transactions08[Type], "Income") -
SUMIFS(Transactions08[Projected], Transactions08[Currency], BalanceCurrency0952[[#This Row],[Currency]], Transactions08[Type], "&lt;&gt;Income")</f>
        <v>0</v>
      </c>
      <c r="C22" s="5">
        <f xml:space="preserve">
SUMIFS(Transactions08[Actual], Transactions08[Currency], BalanceCurrency0952[[#This Row],[Currency]], Transactions08[Type], "Income") -
SUMIFS(Transactions08[Actual], Transactions08[Currency], BalanceCurrency0952[[#This Row],[Currency]], Transactions08[Type], "&lt;&gt;Income")</f>
        <v>0</v>
      </c>
      <c r="D22" s="5">
        <f>BalanceCurrency0952[[#This Row],[Actual]] - BalanceCurrency0952[[#This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SUMIFS(Transactions08[Projected], Transactions08[Currency], BalanceCurrency0952[[#This Row],[Currency]], Transactions08[Type], "Income") -
SUMIFS(Transactions08[Projected], Transactions08[Currency], BalanceCurrency0952[[#This Row],[Currency]], Transactions08[Type], "&lt;&gt;Income")</f>
        <v>0</v>
      </c>
      <c r="C23" s="5">
        <f xml:space="preserve">
SUMIFS(Transactions08[Actual], Transactions08[Currency], BalanceCurrency0952[[#This Row],[Currency]], Transactions08[Type], "Income") -
SUMIFS(Transactions08[Actual], Transactions08[Currency], BalanceCurrency0952[[#This Row],[Currency]], Transactions08[Type], "&lt;&gt;Income")</f>
        <v>0</v>
      </c>
      <c r="D23" s="5">
        <f>BalanceCurrency0952[[#This Row],[Actual]] - BalanceCurrency0952[[#This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SUMIFS(Transactions08[Projected], Transactions08[Currency], BalanceCurrency0952[[#This Row],[Currency]], Transactions08[Type], "Income") -
SUMIFS(Transactions08[Projected], Transactions08[Currency], BalanceCurrency0952[[#This Row],[Currency]], Transactions08[Type], "&lt;&gt;Income")</f>
        <v>0</v>
      </c>
      <c r="C24" s="5">
        <f xml:space="preserve">
SUMIFS(Transactions08[Actual], Transactions08[Currency], BalanceCurrency0952[[#This Row],[Currency]], Transactions08[Type], "Income") -
SUMIFS(Transactions08[Actual], Transactions08[Currency], BalanceCurrency0952[[#This Row],[Currency]], Transactions08[Type], "&lt;&gt;Income")</f>
        <v>0</v>
      </c>
      <c r="D24" s="5">
        <f>BalanceCurrency0952[[#This Row],[Actual]] - BalanceCurrency0952[[#This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SUMIFS(Transactions08[Projected], Transactions08[Currency], BalanceCurrency0952[[#This Row],[Currency]], Transactions08[Type], "Income") -
SUMIFS(Transactions08[Projected], Transactions08[Currency], BalanceCurrency0952[[#This Row],[Currency]], Transactions08[Type], "&lt;&gt;Income")</f>
        <v>0</v>
      </c>
      <c r="C25" s="5">
        <f xml:space="preserve">
SUMIFS(Transactions08[Actual], Transactions08[Currency], BalanceCurrency0952[[#This Row],[Currency]], Transactions08[Type], "Income") -
SUMIFS(Transactions08[Actual], Transactions08[Currency], BalanceCurrency0952[[#This Row],[Currency]], Transactions08[Type], "&lt;&gt;Income")</f>
        <v>0</v>
      </c>
      <c r="D25" s="5">
        <f>BalanceCurrency0952[[#This Row],[Actual]] - BalanceCurrency0952[[#This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SUMIFS(Transactions08[Projected], Transactions08[Currency], BalanceCurrency0952[[#This Row],[Currency]], Transactions08[Type], "Income") -
SUMIFS(Transactions08[Projected], Transactions08[Currency], BalanceCurrency0952[[#This Row],[Currency]], Transactions08[Type], "&lt;&gt;Income")</f>
        <v>0</v>
      </c>
      <c r="C26" s="5">
        <f xml:space="preserve">
SUMIFS(Transactions08[Actual], Transactions08[Currency], BalanceCurrency0952[[#This Row],[Currency]], Transactions08[Type], "Income") -
SUMIFS(Transactions08[Actual], Transactions08[Currency], BalanceCurrency0952[[#This Row],[Currency]], Transactions08[Type], "&lt;&gt;Income")</f>
        <v>0</v>
      </c>
      <c r="D26" s="5">
        <f>BalanceCurrency0952[[#This Row],[Actual]] - BalanceCurrency0952[[#This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SUMIFS(Transactions08[Projected], Transactions08[Currency], BalanceCurrency0952[[#This Row],[Currency]], Transactions08[Type], "Income") -
SUMIFS(Transactions08[Projected], Transactions08[Currency], BalanceCurrency0952[[#This Row],[Currency]], Transactions08[Type], "&lt;&gt;Income")</f>
        <v>0</v>
      </c>
      <c r="C27" s="5">
        <f xml:space="preserve">
SUMIFS(Transactions08[Actual], Transactions08[Currency], BalanceCurrency0952[[#This Row],[Currency]], Transactions08[Type], "Income") -
SUMIFS(Transactions08[Actual], Transactions08[Currency], BalanceCurrency0952[[#This Row],[Currency]], Transactions08[Type], "&lt;&gt;Income")</f>
        <v>0</v>
      </c>
      <c r="D27" s="5">
        <f>BalanceCurrency0952[[#This Row],[Actual]] - BalanceCurrency0952[[#This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SUMIFS(Transactions08[Projected (EUR)], Transactions08[Type], TransactionsSummary0950[[#This Row],[Type]], Transactions08[Category], TransactionsSummary0950[[#This Row],[Category]])</f>
        <v>0</v>
      </c>
      <c r="C33" s="3">
        <f xml:space="preserve"> SUMIFS(Transactions08[Actual (EUR)], Transactions08[Type], TransactionsSummary0950[[#This Row],[Type]], Transactions08[Category], TransactionsSummary0950[[#This Row],[Category]])</f>
        <v>0</v>
      </c>
      <c r="D33" s="3">
        <f>TransactionsSummary0950[[#This Row],[Actual]]-TransactionsSummary0950[[#This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SUMIFS(Transactions08[Projected (EUR)], Transactions08[Type], TransactionsSummary0950[[#This Row],[Type]], Transactions08[Category], TransactionsSummary0950[[#This Row],[Category]])</f>
        <v>0</v>
      </c>
      <c r="C34" s="3">
        <f xml:space="preserve"> SUMIFS(Transactions08[Actual (EUR)], Transactions08[Type], TransactionsSummary0950[[#This Row],[Type]], Transactions08[Category], TransactionsSummary0950[[#This Row],[Category]])</f>
        <v>0</v>
      </c>
      <c r="D34" s="3">
        <f>TransactionsSummary0950[[#This Row],[Actual]]-TransactionsSummary0950[[#This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SUMIFS(Transactions08[Projected (EUR)], Transactions08[Type], TransactionsSummary0950[[#This Row],[Type]], Transactions08[Category], TransactionsSummary0950[[#This Row],[Category]])</f>
        <v>0</v>
      </c>
      <c r="C35" s="3">
        <f xml:space="preserve"> SUMIFS(Transactions08[Actual (EUR)], Transactions08[Type], TransactionsSummary0950[[#This Row],[Type]], Transactions08[Category], TransactionsSummary0950[[#This Row],[Category]])</f>
        <v>0</v>
      </c>
      <c r="D35" s="3">
        <f>TransactionsSummary0950[[#This Row],[Actual]]-TransactionsSummary0950[[#This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SUMIFS(Transactions08[Projected (EUR)], Transactions08[Type], TransactionsSummary0950[[#This Row],[Type]], Transactions08[Category], TransactionsSummary0950[[#This Row],[Category]])</f>
        <v>0</v>
      </c>
      <c r="C36" s="3">
        <f xml:space="preserve"> SUMIFS(Transactions08[Actual (EUR)], Transactions08[Type], TransactionsSummary0950[[#This Row],[Type]], Transactions08[Category], TransactionsSummary0950[[#This Row],[Category]])</f>
        <v>0</v>
      </c>
      <c r="D36" s="3">
        <f>TransactionsSummary0950[[#This Row],[Actual]]-TransactionsSummary0950[[#This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SUMIFS(Transactions08[Projected (EUR)], Transactions08[Type], TransactionsSummary0950[[#This Row],[Type]], Transactions08[Category], TransactionsSummary0950[[#This Row],[Category]])</f>
        <v>0</v>
      </c>
      <c r="C37" s="3">
        <f xml:space="preserve"> SUMIFS(Transactions08[Actual (EUR)], Transactions08[Type], TransactionsSummary0950[[#This Row],[Type]], Transactions08[Category], TransactionsSummary0950[[#This Row],[Category]])</f>
        <v>0</v>
      </c>
      <c r="D37" s="3">
        <f>TransactionsSummary0950[[#This Row],[Actual]]-TransactionsSummary0950[[#This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SUMIFS(Transactions08[Projected (EUR)], Transactions08[Type], TransactionsSummary0950[[#This Row],[Type]], Transactions08[Category], TransactionsSummary0950[[#This Row],[Category]])</f>
        <v>0</v>
      </c>
      <c r="C38" s="3">
        <f xml:space="preserve"> SUMIFS(Transactions08[Actual (EUR)], Transactions08[Type], TransactionsSummary0950[[#This Row],[Type]], Transactions08[Category], TransactionsSummary0950[[#This Row],[Category]])</f>
        <v>0</v>
      </c>
      <c r="D38" s="3">
        <f>TransactionsSummary0950[[#This Row],[Actual]]-TransactionsSummary0950[[#This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SUMIFS(Transactions08[Projected (EUR)], Transactions08[Type], TransactionsSummary0950[[#This Row],[Type]], Transactions08[Category], TransactionsSummary0950[[#This Row],[Category]])</f>
        <v>0</v>
      </c>
      <c r="C39" s="3">
        <f xml:space="preserve"> SUMIFS(Transactions08[Actual (EUR)], Transactions08[Type], TransactionsSummary0950[[#This Row],[Type]], Transactions08[Category], TransactionsSummary0950[[#This Row],[Category]])</f>
        <v>0</v>
      </c>
      <c r="D39" s="3">
        <f>TransactionsSummary0950[[#This Row],[Actual]]-TransactionsSummary0950[[#This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Transactions08[[#This Row],[Actual]]-Transactions08[[#This Row],[Projected]]</f>
        <v>0</v>
      </c>
      <c r="I45" s="5" cm="1">
        <f t="array" ref="I45">CONVERT2EUR(Transactions08[[#This Row],[Currency]], Transactions08[[#This Row],[Projected]])</f>
        <v>0</v>
      </c>
      <c r="J45" s="5" cm="1">
        <f t="array" ref="J45">CONVERT2EUR(Transactions08[[#This Row],[Currency]], Transactions08[[#This Row],[Actual]])</f>
        <v>0</v>
      </c>
      <c r="K45" s="5">
        <f>Transactions08[[#This Row],[Actual (EUR)]] - Transactions08[[#This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380" priority="6" operator="greaterThan">
      <formula>0</formula>
    </cfRule>
    <cfRule type="cellIs" dxfId="379" priority="12" operator="lessThanOrEqual">
      <formula>0</formula>
    </cfRule>
  </conditionalFormatting>
  <conditionalFormatting sqref="B16:C16">
    <cfRule type="cellIs" dxfId="378" priority="11" operator="notBetween">
      <formula>-0.01</formula>
      <formula>0.01</formula>
    </cfRule>
  </conditionalFormatting>
  <conditionalFormatting sqref="B22:C27">
    <cfRule type="cellIs" dxfId="377" priority="10" operator="notBetween">
      <formula>-0.01</formula>
      <formula>0.01</formula>
    </cfRule>
  </conditionalFormatting>
  <conditionalFormatting sqref="F7">
    <cfRule type="cellIs" dxfId="376" priority="9" operator="notEqual">
      <formula>1</formula>
    </cfRule>
  </conditionalFormatting>
  <conditionalFormatting sqref="F4:F6">
    <cfRule type="containsBlanks" dxfId="375" priority="8">
      <formula>LEN(TRIM(F4))=0</formula>
    </cfRule>
  </conditionalFormatting>
  <conditionalFormatting sqref="D34:D35">
    <cfRule type="cellIs" dxfId="374" priority="2" operator="greaterThan">
      <formula>0</formula>
    </cfRule>
    <cfRule type="cellIs" dxfId="373" priority="3" operator="lessThanOrEqual">
      <formula>0</formula>
    </cfRule>
  </conditionalFormatting>
  <conditionalFormatting sqref="D33">
    <cfRule type="cellIs" dxfId="372" priority="4" operator="lessThan">
      <formula>0</formula>
    </cfRule>
    <cfRule type="cellIs" dxfId="371" priority="5" operator="greaterThanOrEqual">
      <formula>0</formula>
    </cfRule>
  </conditionalFormatting>
  <conditionalFormatting sqref="A45:C45 E45:H45">
    <cfRule type="containsBlanks" dxfId="370" priority="1">
      <formula>LEN(TRIM(A45))=0</formula>
    </cfRule>
  </conditionalFormatting>
  <conditionalFormatting sqref="B13:D14">
    <cfRule type="cellIs" dxfId="369" priority="13" operator="greaterThanOrEqual">
      <formula>0</formula>
    </cfRule>
    <cfRule type="cellIs" dxfId="368" priority="7" operator="lessThan">
      <formula>0</formula>
    </cfRule>
  </conditionalFormatting>
  <dataValidations disablePrompts="1" count="6">
    <dataValidation type="list" allowBlank="1" showInputMessage="1" showErrorMessage="1" sqref="E45 E40:E41" xr:uid="{4B452C8C-628E-E94F-BA4F-6B2FDB4D5EDC}">
      <formula1>"Income, Expense, Saving"</formula1>
    </dataValidation>
    <dataValidation type="list" allowBlank="1" showInputMessage="1" showErrorMessage="1" sqref="F45" xr:uid="{4CD95A69-BC18-F84C-9F3F-2C738371EC58}">
      <formula1>"Need, Want, Investment, Income"</formula1>
    </dataValidation>
    <dataValidation type="list" allowBlank="1" showInputMessage="1" showErrorMessage="1" sqref="E13:E15 E4:E6" xr:uid="{2C2AB305-779D-6449-B687-22B9EA552543}">
      <formula1>"Need, Want, Investment"</formula1>
    </dataValidation>
    <dataValidation type="list" allowBlank="1" showInputMessage="1" showErrorMessage="1" sqref="A40:A41" xr:uid="{00BBA278-1285-A04B-BB71-354B2639E312}">
      <formula1>"EUR"</formula1>
    </dataValidation>
    <dataValidation type="list" allowBlank="1" showInputMessage="1" showErrorMessage="1" sqref="F40:F41" xr:uid="{0FE52961-93B8-7848-A8B5-08C29EF7F284}">
      <formula1>"Income, Need, Want, Investment, Any"</formula1>
    </dataValidation>
    <dataValidation type="list" allowBlank="1" showInputMessage="1" showErrorMessage="1" sqref="A45" xr:uid="{BEBC5F37-DE55-7842-B78C-CBDAC8A6AA98}">
      <formula1>$A$22:$A$27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2D0F-0229-8D4A-8668-C6DC05074C20}">
  <sheetPr codeName="Sheet17"/>
  <dimension ref="A1:K138"/>
  <sheetViews>
    <sheetView topLeftCell="A8" zoomScale="90" zoomScaleNormal="90" workbookViewId="0">
      <selection activeCell="I45" activeCellId="5" sqref="B4:D7 B13:D16 B22:D27 B33:D39 B45:D45 I45:K45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Budget09[[#This Row],[Slice]] * SUMIFS(Transactions09[Projected (EUR)], Transactions09[Type], "Income")</f>
        <v>0</v>
      </c>
      <c r="C4" s="3">
        <f xml:space="preserve"> Budget09[[#This Row],[Slice]] * SUMIFS(Transactions09[Actual (EUR)], Transactions09[Type], "Income")</f>
        <v>0</v>
      </c>
      <c r="D4" s="3">
        <f>Budget09[[#This Row],[Actual]]-Budget09[[#This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Budget09[[#This Row],[Slice]] * SUMIFS(Transactions09[Projected (EUR)], Transactions09[Type], "Income")</f>
        <v>0</v>
      </c>
      <c r="C5" s="3">
        <f xml:space="preserve"> Budget09[[#This Row],[Slice]] * SUMIFS(Transactions09[Actual (EUR)], Transactions09[Type], "Income")</f>
        <v>0</v>
      </c>
      <c r="D5" s="3">
        <f>Budget09[[#This Row],[Actual]]-Budget09[[#This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Budget09[[#This Row],[Slice]] * SUMIFS(Transactions09[Projected (EUR)], Transactions09[Type], "Income")</f>
        <v>0</v>
      </c>
      <c r="C6" s="3">
        <f xml:space="preserve"> Budget09[[#This Row],[Slice]] * SUMIFS(Transactions09[Actual (EUR)], Transactions09[Type], "Income")</f>
        <v>0</v>
      </c>
      <c r="D6" s="3">
        <f>Budget09[[#This Row],[Actual]]-Budget09[[#This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SUBTOTAL(109,Budget09[Projected])</f>
        <v>0</v>
      </c>
      <c r="C7" s="5">
        <f>SUBTOTAL(109,Budget09[Actual])</f>
        <v>0</v>
      </c>
      <c r="D7" s="5">
        <f>SUBTOTAL(109,Budget09[Difference])</f>
        <v>0</v>
      </c>
      <c r="E7" t="s">
        <v>13</v>
      </c>
      <c r="F7" s="4">
        <f>SUBTOTAL(109,Budget09[Slice])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SUMIFS(Budget09[Projected], Budget09[Category], BalanceBudget09[[#This Row],[Category]]) -
SUMIFS(Transactions09[Projected (EUR)], Transactions09[Type], "&lt;&gt;Income", Transactions09[Category], BalanceBudget09[[#This Row],[Category]])</f>
        <v>0</v>
      </c>
      <c r="C13" s="5">
        <f xml:space="preserve">
SUMIFS(Budget09[Actual], Budget09[Category], BalanceBudget09[[#This Row],[Category]]) -
SUMIFS(Transactions09[Actual (EUR)], Transactions09[Type], "&lt;&gt;Income", Transactions09[Category], BalanceBudget09[[#This Row],[Category]])</f>
        <v>0</v>
      </c>
      <c r="D13" s="5">
        <f>BalanceBudget09[[#This Row],[Actual]] - BalanceBudget09[[#This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SUMIFS(Budget09[Projected], Budget09[Category], BalanceBudget09[[#This Row],[Category]]) -
SUMIFS(Transactions09[Projected (EUR)], Transactions09[Type], "&lt;&gt;Income", Transactions09[Category], BalanceBudget09[[#This Row],[Category]])</f>
        <v>0</v>
      </c>
      <c r="C14" s="5">
        <f xml:space="preserve">
SUMIFS(Budget09[Actual], Budget09[Category], BalanceBudget09[[#This Row],[Category]]) -
SUMIFS(Transactions09[Actual (EUR)], Transactions09[Type], "&lt;&gt;Income", Transactions09[Category], BalanceBudget09[[#This Row],[Category]])</f>
        <v>0</v>
      </c>
      <c r="D14" s="5">
        <f>BalanceBudget09[[#This Row],[Actual]] - BalanceBudget09[[#This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SUMIFS(Budget09[Projected], Budget09[Category], BalanceBudget09[[#This Row],[Category]]) -
SUMIFS(Transactions09[Projected (EUR)], Transactions09[Type], "&lt;&gt;Income", Transactions09[Category], BalanceBudget09[[#This Row],[Category]])</f>
        <v>0</v>
      </c>
      <c r="C15" s="5">
        <f xml:space="preserve">
SUMIFS(Budget09[Actual], Budget09[Category], BalanceBudget09[[#This Row],[Category]]) -
SUMIFS(Transactions09[Actual (EUR)], Transactions09[Type], "&lt;&gt;Income", Transactions09[Category], BalanceBudget09[[#This Row],[Category]])</f>
        <v>0</v>
      </c>
      <c r="D15" s="5">
        <f>BalanceBudget09[[#This Row],[Actual]] - BalanceBudget09[[#This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SUBTOTAL(109,BalanceBudget09[Projected])</f>
        <v>0</v>
      </c>
      <c r="C16" s="5">
        <f>SUBTOTAL(109,BalanceBudget09[Actual])</f>
        <v>0</v>
      </c>
      <c r="D16" s="5">
        <f>SUBTOTAL(109,BalanceBudget09[Difference])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SUMIFS(Transactions09[Projected], Transactions09[Currency], BalanceCurrency09[[#This Row],[Currency]], Transactions09[Type], "Income") -
SUMIFS(Transactions09[Projected], Transactions09[Currency], BalanceCurrency09[[#This Row],[Currency]], Transactions09[Type], "&lt;&gt;Income")</f>
        <v>0</v>
      </c>
      <c r="C22" s="5">
        <f xml:space="preserve">
SUMIFS(Transactions09[Actual], Transactions09[Currency], BalanceCurrency09[[#This Row],[Currency]], Transactions09[Type], "Income") -
SUMIFS(Transactions09[Actual], Transactions09[Currency], BalanceCurrency09[[#This Row],[Currency]], Transactions09[Type], "&lt;&gt;Income")</f>
        <v>0</v>
      </c>
      <c r="D22" s="5">
        <f>BalanceCurrency09[[#This Row],[Actual]] - BalanceCurrency09[[#This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SUMIFS(Transactions09[Projected], Transactions09[Currency], BalanceCurrency09[[#This Row],[Currency]], Transactions09[Type], "Income") -
SUMIFS(Transactions09[Projected], Transactions09[Currency], BalanceCurrency09[[#This Row],[Currency]], Transactions09[Type], "&lt;&gt;Income")</f>
        <v>0</v>
      </c>
      <c r="C23" s="5">
        <f xml:space="preserve">
SUMIFS(Transactions09[Actual], Transactions09[Currency], BalanceCurrency09[[#This Row],[Currency]], Transactions09[Type], "Income") -
SUMIFS(Transactions09[Actual], Transactions09[Currency], BalanceCurrency09[[#This Row],[Currency]], Transactions09[Type], "&lt;&gt;Income")</f>
        <v>0</v>
      </c>
      <c r="D23" s="5">
        <f>BalanceCurrency09[[#This Row],[Actual]] - BalanceCurrency09[[#This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SUMIFS(Transactions09[Projected], Transactions09[Currency], BalanceCurrency09[[#This Row],[Currency]], Transactions09[Type], "Income") -
SUMIFS(Transactions09[Projected], Transactions09[Currency], BalanceCurrency09[[#This Row],[Currency]], Transactions09[Type], "&lt;&gt;Income")</f>
        <v>0</v>
      </c>
      <c r="C24" s="5">
        <f xml:space="preserve">
SUMIFS(Transactions09[Actual], Transactions09[Currency], BalanceCurrency09[[#This Row],[Currency]], Transactions09[Type], "Income") -
SUMIFS(Transactions09[Actual], Transactions09[Currency], BalanceCurrency09[[#This Row],[Currency]], Transactions09[Type], "&lt;&gt;Income")</f>
        <v>0</v>
      </c>
      <c r="D24" s="5">
        <f>BalanceCurrency09[[#This Row],[Actual]] - BalanceCurrency09[[#This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SUMIFS(Transactions09[Projected], Transactions09[Currency], BalanceCurrency09[[#This Row],[Currency]], Transactions09[Type], "Income") -
SUMIFS(Transactions09[Projected], Transactions09[Currency], BalanceCurrency09[[#This Row],[Currency]], Transactions09[Type], "&lt;&gt;Income")</f>
        <v>0</v>
      </c>
      <c r="C25" s="5">
        <f xml:space="preserve">
SUMIFS(Transactions09[Actual], Transactions09[Currency], BalanceCurrency09[[#This Row],[Currency]], Transactions09[Type], "Income") -
SUMIFS(Transactions09[Actual], Transactions09[Currency], BalanceCurrency09[[#This Row],[Currency]], Transactions09[Type], "&lt;&gt;Income")</f>
        <v>0</v>
      </c>
      <c r="D25" s="5">
        <f>BalanceCurrency09[[#This Row],[Actual]] - BalanceCurrency09[[#This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SUMIFS(Transactions09[Projected], Transactions09[Currency], BalanceCurrency09[[#This Row],[Currency]], Transactions09[Type], "Income") -
SUMIFS(Transactions09[Projected], Transactions09[Currency], BalanceCurrency09[[#This Row],[Currency]], Transactions09[Type], "&lt;&gt;Income")</f>
        <v>0</v>
      </c>
      <c r="C26" s="5">
        <f xml:space="preserve">
SUMIFS(Transactions09[Actual], Transactions09[Currency], BalanceCurrency09[[#This Row],[Currency]], Transactions09[Type], "Income") -
SUMIFS(Transactions09[Actual], Transactions09[Currency], BalanceCurrency09[[#This Row],[Currency]], Transactions09[Type], "&lt;&gt;Income")</f>
        <v>0</v>
      </c>
      <c r="D26" s="5">
        <f>BalanceCurrency09[[#This Row],[Actual]] - BalanceCurrency09[[#This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SUMIFS(Transactions09[Projected], Transactions09[Currency], BalanceCurrency09[[#This Row],[Currency]], Transactions09[Type], "Income") -
SUMIFS(Transactions09[Projected], Transactions09[Currency], BalanceCurrency09[[#This Row],[Currency]], Transactions09[Type], "&lt;&gt;Income")</f>
        <v>0</v>
      </c>
      <c r="C27" s="5">
        <f xml:space="preserve">
SUMIFS(Transactions09[Actual], Transactions09[Currency], BalanceCurrency09[[#This Row],[Currency]], Transactions09[Type], "Income") -
SUMIFS(Transactions09[Actual], Transactions09[Currency], BalanceCurrency09[[#This Row],[Currency]], Transactions09[Type], "&lt;&gt;Income")</f>
        <v>0</v>
      </c>
      <c r="D27" s="5">
        <f>BalanceCurrency09[[#This Row],[Actual]] - BalanceCurrency09[[#This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SUMIFS(Transactions09[Projected (EUR)], Transactions09[Type], TransactionsSummary09[[#This Row],[Type]], Transactions09[Category], TransactionsSummary09[[#This Row],[Category]])</f>
        <v>0</v>
      </c>
      <c r="C33" s="3">
        <f xml:space="preserve"> SUMIFS(Transactions09[Actual (EUR)], Transactions09[Type], TransactionsSummary09[[#This Row],[Type]], Transactions09[Category], TransactionsSummary09[[#This Row],[Category]])</f>
        <v>0</v>
      </c>
      <c r="D33" s="3">
        <f>TransactionsSummary09[[#This Row],[Actual]]-TransactionsSummary09[[#This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SUMIFS(Transactions09[Projected (EUR)], Transactions09[Type], TransactionsSummary09[[#This Row],[Type]], Transactions09[Category], TransactionsSummary09[[#This Row],[Category]])</f>
        <v>0</v>
      </c>
      <c r="C34" s="3">
        <f xml:space="preserve"> SUMIFS(Transactions09[Actual (EUR)], Transactions09[Type], TransactionsSummary09[[#This Row],[Type]], Transactions09[Category], TransactionsSummary09[[#This Row],[Category]])</f>
        <v>0</v>
      </c>
      <c r="D34" s="3">
        <f>TransactionsSummary09[[#This Row],[Actual]]-TransactionsSummary09[[#This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SUMIFS(Transactions09[Projected (EUR)], Transactions09[Type], TransactionsSummary09[[#This Row],[Type]], Transactions09[Category], TransactionsSummary09[[#This Row],[Category]])</f>
        <v>0</v>
      </c>
      <c r="C35" s="3">
        <f xml:space="preserve"> SUMIFS(Transactions09[Actual (EUR)], Transactions09[Type], TransactionsSummary09[[#This Row],[Type]], Transactions09[Category], TransactionsSummary09[[#This Row],[Category]])</f>
        <v>0</v>
      </c>
      <c r="D35" s="3">
        <f>TransactionsSummary09[[#This Row],[Actual]]-TransactionsSummary09[[#This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SUMIFS(Transactions09[Projected (EUR)], Transactions09[Type], TransactionsSummary09[[#This Row],[Type]], Transactions09[Category], TransactionsSummary09[[#This Row],[Category]])</f>
        <v>0</v>
      </c>
      <c r="C36" s="3">
        <f xml:space="preserve"> SUMIFS(Transactions09[Actual (EUR)], Transactions09[Type], TransactionsSummary09[[#This Row],[Type]], Transactions09[Category], TransactionsSummary09[[#This Row],[Category]])</f>
        <v>0</v>
      </c>
      <c r="D36" s="3">
        <f>TransactionsSummary09[[#This Row],[Actual]]-TransactionsSummary09[[#This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SUMIFS(Transactions09[Projected (EUR)], Transactions09[Type], TransactionsSummary09[[#This Row],[Type]], Transactions09[Category], TransactionsSummary09[[#This Row],[Category]])</f>
        <v>0</v>
      </c>
      <c r="C37" s="3">
        <f xml:space="preserve"> SUMIFS(Transactions09[Actual (EUR)], Transactions09[Type], TransactionsSummary09[[#This Row],[Type]], Transactions09[Category], TransactionsSummary09[[#This Row],[Category]])</f>
        <v>0</v>
      </c>
      <c r="D37" s="3">
        <f>TransactionsSummary09[[#This Row],[Actual]]-TransactionsSummary09[[#This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SUMIFS(Transactions09[Projected (EUR)], Transactions09[Type], TransactionsSummary09[[#This Row],[Type]], Transactions09[Category], TransactionsSummary09[[#This Row],[Category]])</f>
        <v>0</v>
      </c>
      <c r="C38" s="3">
        <f xml:space="preserve"> SUMIFS(Transactions09[Actual (EUR)], Transactions09[Type], TransactionsSummary09[[#This Row],[Type]], Transactions09[Category], TransactionsSummary09[[#This Row],[Category]])</f>
        <v>0</v>
      </c>
      <c r="D38" s="3">
        <f>TransactionsSummary09[[#This Row],[Actual]]-TransactionsSummary09[[#This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SUMIFS(Transactions09[Projected (EUR)], Transactions09[Type], TransactionsSummary09[[#This Row],[Type]], Transactions09[Category], TransactionsSummary09[[#This Row],[Category]])</f>
        <v>0</v>
      </c>
      <c r="C39" s="3">
        <f xml:space="preserve"> SUMIFS(Transactions09[Actual (EUR)], Transactions09[Type], TransactionsSummary09[[#This Row],[Type]], Transactions09[Category], TransactionsSummary09[[#This Row],[Category]])</f>
        <v>0</v>
      </c>
      <c r="D39" s="3">
        <f>TransactionsSummary09[[#This Row],[Actual]]-TransactionsSummary09[[#This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Transactions09[[#This Row],[Actual]]-Transactions09[[#This Row],[Projected]]</f>
        <v>0</v>
      </c>
      <c r="I45" s="5" cm="1">
        <f t="array" ref="I45">CONVERT2EUR(Transactions09[[#This Row],[Currency]], Transactions09[[#This Row],[Projected]])</f>
        <v>0</v>
      </c>
      <c r="J45" s="5" cm="1">
        <f t="array" ref="J45">CONVERT2EUR(Transactions09[[#This Row],[Currency]], Transactions09[[#This Row],[Actual]])</f>
        <v>0</v>
      </c>
      <c r="K45" s="5">
        <f>Transactions09[[#This Row],[Actual (EUR)]] - Transactions09[[#This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356" priority="6" operator="greaterThan">
      <formula>0</formula>
    </cfRule>
    <cfRule type="cellIs" dxfId="355" priority="12" operator="lessThanOrEqual">
      <formula>0</formula>
    </cfRule>
  </conditionalFormatting>
  <conditionalFormatting sqref="B16:C16">
    <cfRule type="cellIs" dxfId="354" priority="11" operator="notBetween">
      <formula>-0.01</formula>
      <formula>0.01</formula>
    </cfRule>
  </conditionalFormatting>
  <conditionalFormatting sqref="B22:C27">
    <cfRule type="cellIs" dxfId="353" priority="10" operator="notBetween">
      <formula>-0.01</formula>
      <formula>0.01</formula>
    </cfRule>
  </conditionalFormatting>
  <conditionalFormatting sqref="F7">
    <cfRule type="cellIs" dxfId="352" priority="9" operator="notEqual">
      <formula>1</formula>
    </cfRule>
  </conditionalFormatting>
  <conditionalFormatting sqref="F4:F6">
    <cfRule type="containsBlanks" dxfId="351" priority="8">
      <formula>LEN(TRIM(F4))=0</formula>
    </cfRule>
  </conditionalFormatting>
  <conditionalFormatting sqref="D34:D35">
    <cfRule type="cellIs" dxfId="350" priority="2" operator="greaterThan">
      <formula>0</formula>
    </cfRule>
    <cfRule type="cellIs" dxfId="349" priority="3" operator="lessThanOrEqual">
      <formula>0</formula>
    </cfRule>
  </conditionalFormatting>
  <conditionalFormatting sqref="D33">
    <cfRule type="cellIs" dxfId="348" priority="4" operator="lessThan">
      <formula>0</formula>
    </cfRule>
    <cfRule type="cellIs" dxfId="347" priority="5" operator="greaterThanOrEqual">
      <formula>0</formula>
    </cfRule>
  </conditionalFormatting>
  <conditionalFormatting sqref="A45:C45 E45:H45">
    <cfRule type="containsBlanks" dxfId="346" priority="1">
      <formula>LEN(TRIM(A45))=0</formula>
    </cfRule>
  </conditionalFormatting>
  <conditionalFormatting sqref="B13:D14">
    <cfRule type="cellIs" dxfId="345" priority="7" operator="lessThan">
      <formula>0</formula>
    </cfRule>
    <cfRule type="cellIs" dxfId="344" priority="13" operator="greaterThanOrEqual">
      <formula>0</formula>
    </cfRule>
  </conditionalFormatting>
  <dataValidations disablePrompts="1" count="6">
    <dataValidation type="list" allowBlank="1" showInputMessage="1" showErrorMessage="1" sqref="A45" xr:uid="{CC439982-A4E4-9341-B1AD-0DA098AD5C93}">
      <formula1>$A$22:$A$27</formula1>
    </dataValidation>
    <dataValidation type="list" allowBlank="1" showInputMessage="1" showErrorMessage="1" sqref="F40:F41" xr:uid="{9AA6B7A7-F751-5549-BBD1-FAB358AAEC1C}">
      <formula1>"Income, Need, Want, Investment, Any"</formula1>
    </dataValidation>
    <dataValidation type="list" allowBlank="1" showInputMessage="1" showErrorMessage="1" sqref="A40:A41" xr:uid="{36F531F9-E94F-C04B-A135-E0CEC149295B}">
      <formula1>"EUR"</formula1>
    </dataValidation>
    <dataValidation type="list" allowBlank="1" showInputMessage="1" showErrorMessage="1" sqref="E13:E15 E4:E6" xr:uid="{95E13658-E95C-0C43-9D82-740EC8652BCB}">
      <formula1>"Need, Want, Investment"</formula1>
    </dataValidation>
    <dataValidation type="list" allowBlank="1" showInputMessage="1" showErrorMessage="1" sqref="F45" xr:uid="{FBC9488A-DA41-3348-8A35-AED3B0806344}">
      <formula1>"Need, Want, Investment, Income"</formula1>
    </dataValidation>
    <dataValidation type="list" allowBlank="1" showInputMessage="1" showErrorMessage="1" sqref="E45 E40:E41" xr:uid="{A1C69D74-9B1B-1D43-BA63-8C3D6FC91E7F}">
      <formula1>"Income, Expense, Saving"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230F-9116-414E-88A2-795D996740BE}">
  <sheetPr codeName="Sheet16"/>
  <dimension ref="A1:K138"/>
  <sheetViews>
    <sheetView topLeftCell="A12" zoomScale="90" zoomScaleNormal="90" workbookViewId="0">
      <selection activeCell="G26" sqref="G26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Budget10[[#This Row],[Slice]] * SUMIFS(Transactions10[Projected (EUR)], Transactions10[Type], "Income")</f>
        <v>0</v>
      </c>
      <c r="C4" s="3">
        <f xml:space="preserve"> Budget10[[#This Row],[Slice]] * SUMIFS(Transactions10[Actual (EUR)], Transactions10[Type], "Income")</f>
        <v>0</v>
      </c>
      <c r="D4" s="3">
        <f>Budget10[[#This Row],[Actual]]-Budget10[[#This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Budget10[[#This Row],[Slice]] * SUMIFS(Transactions10[Projected (EUR)], Transactions10[Type], "Income")</f>
        <v>0</v>
      </c>
      <c r="C5" s="3">
        <f xml:space="preserve"> Budget10[[#This Row],[Slice]] * SUMIFS(Transactions10[Actual (EUR)], Transactions10[Type], "Income")</f>
        <v>0</v>
      </c>
      <c r="D5" s="3">
        <f>Budget10[[#This Row],[Actual]]-Budget10[[#This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Budget10[[#This Row],[Slice]] * SUMIFS(Transactions10[Projected (EUR)], Transactions10[Type], "Income")</f>
        <v>0</v>
      </c>
      <c r="C6" s="3">
        <f xml:space="preserve"> Budget10[[#This Row],[Slice]] * SUMIFS(Transactions10[Actual (EUR)], Transactions10[Type], "Income")</f>
        <v>0</v>
      </c>
      <c r="D6" s="3">
        <f>Budget10[[#This Row],[Actual]]-Budget10[[#This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SUBTOTAL(109,Budget10[Projected])</f>
        <v>0</v>
      </c>
      <c r="C7" s="5">
        <f>SUBTOTAL(109,Budget10[Actual])</f>
        <v>0</v>
      </c>
      <c r="D7" s="5">
        <f>SUBTOTAL(109,Budget10[Difference])</f>
        <v>0</v>
      </c>
      <c r="E7" t="s">
        <v>13</v>
      </c>
      <c r="F7" s="4">
        <f>SUBTOTAL(109,Budget10[Slice])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SUMIFS(Budget10[Projected], Budget10[Category], BalanceBudget10[[#This Row],[Category]]) -
SUMIFS(Transactions10[Projected (EUR)], Transactions10[Type], "&lt;&gt;Income", Transactions10[Category], BalanceBudget10[[#This Row],[Category]])</f>
        <v>0</v>
      </c>
      <c r="C13" s="5">
        <f xml:space="preserve">
SUMIFS(Budget10[Actual], Budget10[Category], BalanceBudget10[[#This Row],[Category]]) -
SUMIFS(Transactions10[Actual (EUR)], Transactions10[Type], "&lt;&gt;Income", Transactions10[Category], BalanceBudget10[[#This Row],[Category]])</f>
        <v>0</v>
      </c>
      <c r="D13" s="5">
        <f>BalanceBudget10[[#This Row],[Actual]] - BalanceBudget10[[#This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SUMIFS(Budget10[Projected], Budget10[Category], BalanceBudget10[[#This Row],[Category]]) -
SUMIFS(Transactions10[Projected (EUR)], Transactions10[Type], "&lt;&gt;Income", Transactions10[Category], BalanceBudget10[[#This Row],[Category]])</f>
        <v>0</v>
      </c>
      <c r="C14" s="5">
        <f xml:space="preserve">
SUMIFS(Budget10[Actual], Budget10[Category], BalanceBudget10[[#This Row],[Category]]) -
SUMIFS(Transactions10[Actual (EUR)], Transactions10[Type], "&lt;&gt;Income", Transactions10[Category], BalanceBudget10[[#This Row],[Category]])</f>
        <v>0</v>
      </c>
      <c r="D14" s="5">
        <f>BalanceBudget10[[#This Row],[Actual]] - BalanceBudget10[[#This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SUMIFS(Budget10[Projected], Budget10[Category], BalanceBudget10[[#This Row],[Category]]) -
SUMIFS(Transactions10[Projected (EUR)], Transactions10[Type], "&lt;&gt;Income", Transactions10[Category], BalanceBudget10[[#This Row],[Category]])</f>
        <v>0</v>
      </c>
      <c r="C15" s="5">
        <f xml:space="preserve">
SUMIFS(Budget10[Actual], Budget10[Category], BalanceBudget10[[#This Row],[Category]]) -
SUMIFS(Transactions10[Actual (EUR)], Transactions10[Type], "&lt;&gt;Income", Transactions10[Category], BalanceBudget10[[#This Row],[Category]])</f>
        <v>0</v>
      </c>
      <c r="D15" s="5">
        <f>BalanceBudget10[[#This Row],[Actual]] - BalanceBudget10[[#This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SUBTOTAL(109,BalanceBudget10[Projected])</f>
        <v>0</v>
      </c>
      <c r="C16" s="5">
        <f>SUBTOTAL(109,BalanceBudget10[Actual])</f>
        <v>0</v>
      </c>
      <c r="D16" s="5">
        <f>SUBTOTAL(109,BalanceBudget10[Difference])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SUMIFS(Transactions10[Projected], Transactions10[Currency], BalanceCurrency10[[#This Row],[Currency]], Transactions10[Type], "Income") -
SUMIFS(Transactions10[Projected], Transactions10[Currency], BalanceCurrency10[[#This Row],[Currency]], Transactions10[Type], "&lt;&gt;Income")</f>
        <v>0</v>
      </c>
      <c r="C22" s="5">
        <f xml:space="preserve">
SUMIFS(Transactions10[Actual], Transactions10[Currency], BalanceCurrency10[[#This Row],[Currency]], Transactions10[Type], "Income") -
SUMIFS(Transactions10[Actual], Transactions10[Currency], BalanceCurrency10[[#This Row],[Currency]], Transactions10[Type], "&lt;&gt;Income")</f>
        <v>0</v>
      </c>
      <c r="D22" s="5">
        <f>BalanceCurrency10[[#This Row],[Actual]] - BalanceCurrency10[[#This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SUMIFS(Transactions10[Projected], Transactions10[Currency], BalanceCurrency10[[#This Row],[Currency]], Transactions10[Type], "Income") -
SUMIFS(Transactions10[Projected], Transactions10[Currency], BalanceCurrency10[[#This Row],[Currency]], Transactions10[Type], "&lt;&gt;Income")</f>
        <v>0</v>
      </c>
      <c r="C23" s="5">
        <f xml:space="preserve">
SUMIFS(Transactions10[Actual], Transactions10[Currency], BalanceCurrency10[[#This Row],[Currency]], Transactions10[Type], "Income") -
SUMIFS(Transactions10[Actual], Transactions10[Currency], BalanceCurrency10[[#This Row],[Currency]], Transactions10[Type], "&lt;&gt;Income")</f>
        <v>0</v>
      </c>
      <c r="D23" s="5">
        <f>BalanceCurrency10[[#This Row],[Actual]] - BalanceCurrency10[[#This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SUMIFS(Transactions10[Projected], Transactions10[Currency], BalanceCurrency10[[#This Row],[Currency]], Transactions10[Type], "Income") -
SUMIFS(Transactions10[Projected], Transactions10[Currency], BalanceCurrency10[[#This Row],[Currency]], Transactions10[Type], "&lt;&gt;Income")</f>
        <v>0</v>
      </c>
      <c r="C24" s="5">
        <f xml:space="preserve">
SUMIFS(Transactions10[Actual], Transactions10[Currency], BalanceCurrency10[[#This Row],[Currency]], Transactions10[Type], "Income") -
SUMIFS(Transactions10[Actual], Transactions10[Currency], BalanceCurrency10[[#This Row],[Currency]], Transactions10[Type], "&lt;&gt;Income")</f>
        <v>0</v>
      </c>
      <c r="D24" s="5">
        <f>BalanceCurrency10[[#This Row],[Actual]] - BalanceCurrency10[[#This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SUMIFS(Transactions10[Projected], Transactions10[Currency], BalanceCurrency10[[#This Row],[Currency]], Transactions10[Type], "Income") -
SUMIFS(Transactions10[Projected], Transactions10[Currency], BalanceCurrency10[[#This Row],[Currency]], Transactions10[Type], "&lt;&gt;Income")</f>
        <v>0</v>
      </c>
      <c r="C25" s="5">
        <f xml:space="preserve">
SUMIFS(Transactions10[Actual], Transactions10[Currency], BalanceCurrency10[[#This Row],[Currency]], Transactions10[Type], "Income") -
SUMIFS(Transactions10[Actual], Transactions10[Currency], BalanceCurrency10[[#This Row],[Currency]], Transactions10[Type], "&lt;&gt;Income")</f>
        <v>0</v>
      </c>
      <c r="D25" s="5">
        <f>BalanceCurrency10[[#This Row],[Actual]] - BalanceCurrency10[[#This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SUMIFS(Transactions10[Projected], Transactions10[Currency], BalanceCurrency10[[#This Row],[Currency]], Transactions10[Type], "Income") -
SUMIFS(Transactions10[Projected], Transactions10[Currency], BalanceCurrency10[[#This Row],[Currency]], Transactions10[Type], "&lt;&gt;Income")</f>
        <v>0</v>
      </c>
      <c r="C26" s="5">
        <f xml:space="preserve">
SUMIFS(Transactions10[Actual], Transactions10[Currency], BalanceCurrency10[[#This Row],[Currency]], Transactions10[Type], "Income") -
SUMIFS(Transactions10[Actual], Transactions10[Currency], BalanceCurrency10[[#This Row],[Currency]], Transactions10[Type], "&lt;&gt;Income")</f>
        <v>0</v>
      </c>
      <c r="D26" s="5">
        <f>BalanceCurrency10[[#This Row],[Actual]] - BalanceCurrency10[[#This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SUMIFS(Transactions10[Projected], Transactions10[Currency], BalanceCurrency10[[#This Row],[Currency]], Transactions10[Type], "Income") -
SUMIFS(Transactions10[Projected], Transactions10[Currency], BalanceCurrency10[[#This Row],[Currency]], Transactions10[Type], "&lt;&gt;Income")</f>
        <v>0</v>
      </c>
      <c r="C27" s="5">
        <f xml:space="preserve">
SUMIFS(Transactions10[Actual], Transactions10[Currency], BalanceCurrency10[[#This Row],[Currency]], Transactions10[Type], "Income") -
SUMIFS(Transactions10[Actual], Transactions10[Currency], BalanceCurrency10[[#This Row],[Currency]], Transactions10[Type], "&lt;&gt;Income")</f>
        <v>0</v>
      </c>
      <c r="D27" s="5">
        <f>BalanceCurrency10[[#This Row],[Actual]] - BalanceCurrency10[[#This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SUMIFS(Transactions10[Projected (EUR)], Transactions10[Type], TransactionsSummary10[[#This Row],[Type]], Transactions10[Category], TransactionsSummary10[[#This Row],[Category]])</f>
        <v>0</v>
      </c>
      <c r="C33" s="3">
        <f xml:space="preserve"> SUMIFS(Transactions10[Actual (EUR)], Transactions10[Type], TransactionsSummary10[[#This Row],[Type]], Transactions10[Category], TransactionsSummary10[[#This Row],[Category]])</f>
        <v>0</v>
      </c>
      <c r="D33" s="3">
        <f>TransactionsSummary10[[#This Row],[Actual]]-TransactionsSummary10[[#This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SUMIFS(Transactions10[Projected (EUR)], Transactions10[Type], TransactionsSummary10[[#This Row],[Type]], Transactions10[Category], TransactionsSummary10[[#This Row],[Category]])</f>
        <v>0</v>
      </c>
      <c r="C34" s="3">
        <f xml:space="preserve"> SUMIFS(Transactions10[Actual (EUR)], Transactions10[Type], TransactionsSummary10[[#This Row],[Type]], Transactions10[Category], TransactionsSummary10[[#This Row],[Category]])</f>
        <v>0</v>
      </c>
      <c r="D34" s="3">
        <f>TransactionsSummary10[[#This Row],[Actual]]-TransactionsSummary10[[#This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SUMIFS(Transactions10[Projected (EUR)], Transactions10[Type], TransactionsSummary10[[#This Row],[Type]], Transactions10[Category], TransactionsSummary10[[#This Row],[Category]])</f>
        <v>0</v>
      </c>
      <c r="C35" s="3">
        <f xml:space="preserve"> SUMIFS(Transactions10[Actual (EUR)], Transactions10[Type], TransactionsSummary10[[#This Row],[Type]], Transactions10[Category], TransactionsSummary10[[#This Row],[Category]])</f>
        <v>0</v>
      </c>
      <c r="D35" s="3">
        <f>TransactionsSummary10[[#This Row],[Actual]]-TransactionsSummary10[[#This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SUMIFS(Transactions10[Projected (EUR)], Transactions10[Type], TransactionsSummary10[[#This Row],[Type]], Transactions10[Category], TransactionsSummary10[[#This Row],[Category]])</f>
        <v>0</v>
      </c>
      <c r="C36" s="3">
        <f xml:space="preserve"> SUMIFS(Transactions10[Actual (EUR)], Transactions10[Type], TransactionsSummary10[[#This Row],[Type]], Transactions10[Category], TransactionsSummary10[[#This Row],[Category]])</f>
        <v>0</v>
      </c>
      <c r="D36" s="3">
        <f>TransactionsSummary10[[#This Row],[Actual]]-TransactionsSummary10[[#This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SUMIFS(Transactions10[Projected (EUR)], Transactions10[Type], TransactionsSummary10[[#This Row],[Type]], Transactions10[Category], TransactionsSummary10[[#This Row],[Category]])</f>
        <v>0</v>
      </c>
      <c r="C37" s="3">
        <f xml:space="preserve"> SUMIFS(Transactions10[Actual (EUR)], Transactions10[Type], TransactionsSummary10[[#This Row],[Type]], Transactions10[Category], TransactionsSummary10[[#This Row],[Category]])</f>
        <v>0</v>
      </c>
      <c r="D37" s="3">
        <f>TransactionsSummary10[[#This Row],[Actual]]-TransactionsSummary10[[#This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SUMIFS(Transactions10[Projected (EUR)], Transactions10[Type], TransactionsSummary10[[#This Row],[Type]], Transactions10[Category], TransactionsSummary10[[#This Row],[Category]])</f>
        <v>0</v>
      </c>
      <c r="C38" s="3">
        <f xml:space="preserve"> SUMIFS(Transactions10[Actual (EUR)], Transactions10[Type], TransactionsSummary10[[#This Row],[Type]], Transactions10[Category], TransactionsSummary10[[#This Row],[Category]])</f>
        <v>0</v>
      </c>
      <c r="D38" s="3">
        <f>TransactionsSummary10[[#This Row],[Actual]]-TransactionsSummary10[[#This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SUMIFS(Transactions10[Projected (EUR)], Transactions10[Type], TransactionsSummary10[[#This Row],[Type]], Transactions10[Category], TransactionsSummary10[[#This Row],[Category]])</f>
        <v>0</v>
      </c>
      <c r="C39" s="3">
        <f xml:space="preserve"> SUMIFS(Transactions10[Actual (EUR)], Transactions10[Type], TransactionsSummary10[[#This Row],[Type]], Transactions10[Category], TransactionsSummary10[[#This Row],[Category]])</f>
        <v>0</v>
      </c>
      <c r="D39" s="3">
        <f>TransactionsSummary10[[#This Row],[Actual]]-TransactionsSummary10[[#This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Transactions10[[#This Row],[Actual]]-Transactions10[[#This Row],[Projected]]</f>
        <v>0</v>
      </c>
      <c r="I45" s="5" cm="1">
        <f t="array" ref="I45">CONVERT2EUR(Transactions10[[#This Row],[Currency]], Transactions10[[#This Row],[Projected]])</f>
        <v>0</v>
      </c>
      <c r="J45" s="5" cm="1">
        <f t="array" ref="J45">CONVERT2EUR(Transactions10[[#This Row],[Currency]], Transactions10[[#This Row],[Actual]])</f>
        <v>0</v>
      </c>
      <c r="K45" s="5">
        <f>Transactions10[[#This Row],[Actual (EUR)]] - Transactions10[[#This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332" priority="6" operator="greaterThan">
      <formula>0</formula>
    </cfRule>
    <cfRule type="cellIs" dxfId="331" priority="12" operator="lessThanOrEqual">
      <formula>0</formula>
    </cfRule>
  </conditionalFormatting>
  <conditionalFormatting sqref="B16:C16">
    <cfRule type="cellIs" dxfId="330" priority="11" operator="notBetween">
      <formula>-0.01</formula>
      <formula>0.01</formula>
    </cfRule>
  </conditionalFormatting>
  <conditionalFormatting sqref="B22:C27">
    <cfRule type="cellIs" dxfId="329" priority="10" operator="notBetween">
      <formula>-0.01</formula>
      <formula>0.01</formula>
    </cfRule>
  </conditionalFormatting>
  <conditionalFormatting sqref="F7">
    <cfRule type="cellIs" dxfId="328" priority="9" operator="notEqual">
      <formula>1</formula>
    </cfRule>
  </conditionalFormatting>
  <conditionalFormatting sqref="F4:F6">
    <cfRule type="containsBlanks" dxfId="327" priority="8">
      <formula>LEN(TRIM(F4))=0</formula>
    </cfRule>
  </conditionalFormatting>
  <conditionalFormatting sqref="D34:D35">
    <cfRule type="cellIs" dxfId="326" priority="2" operator="greaterThan">
      <formula>0</formula>
    </cfRule>
    <cfRule type="cellIs" dxfId="325" priority="3" operator="lessThanOrEqual">
      <formula>0</formula>
    </cfRule>
  </conditionalFormatting>
  <conditionalFormatting sqref="D33">
    <cfRule type="cellIs" dxfId="324" priority="4" operator="lessThan">
      <formula>0</formula>
    </cfRule>
    <cfRule type="cellIs" dxfId="323" priority="5" operator="greaterThanOrEqual">
      <formula>0</formula>
    </cfRule>
  </conditionalFormatting>
  <conditionalFormatting sqref="A45:C45 E45:H45">
    <cfRule type="containsBlanks" dxfId="322" priority="1">
      <formula>LEN(TRIM(A45))=0</formula>
    </cfRule>
  </conditionalFormatting>
  <conditionalFormatting sqref="B13:D14">
    <cfRule type="cellIs" dxfId="321" priority="7" operator="lessThan">
      <formula>0</formula>
    </cfRule>
    <cfRule type="cellIs" dxfId="320" priority="13" operator="greaterThanOrEqual">
      <formula>0</formula>
    </cfRule>
  </conditionalFormatting>
  <dataValidations disablePrompts="1" count="6">
    <dataValidation type="list" allowBlank="1" showInputMessage="1" showErrorMessage="1" sqref="E45 E40:E41" xr:uid="{8F98A727-C33A-D341-9F6C-0BF2B164BDF9}">
      <formula1>"Income, Expense, Saving"</formula1>
    </dataValidation>
    <dataValidation type="list" allowBlank="1" showInputMessage="1" showErrorMessage="1" sqref="F45" xr:uid="{EC701B66-F668-3948-8267-B228EEB3C866}">
      <formula1>"Need, Want, Investment, Income"</formula1>
    </dataValidation>
    <dataValidation type="list" allowBlank="1" showInputMessage="1" showErrorMessage="1" sqref="E13:E15 E4:E6" xr:uid="{F5D8759D-92B4-CB49-B384-BBFB5C9E41AE}">
      <formula1>"Need, Want, Investment"</formula1>
    </dataValidation>
    <dataValidation type="list" allowBlank="1" showInputMessage="1" showErrorMessage="1" sqref="A40:A41" xr:uid="{36BDDAF4-05BA-FD48-92A3-F369366F6412}">
      <formula1>"EUR"</formula1>
    </dataValidation>
    <dataValidation type="list" allowBlank="1" showInputMessage="1" showErrorMessage="1" sqref="F40:F41" xr:uid="{6749C8A9-BE54-BC4C-B32F-91C0FED8B2B5}">
      <formula1>"Income, Need, Want, Investment, Any"</formula1>
    </dataValidation>
    <dataValidation type="list" allowBlank="1" showInputMessage="1" showErrorMessage="1" sqref="A45" xr:uid="{14295C1B-7CF6-C546-B339-37424BE1C773}">
      <formula1>$A$22:$A$27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8C81-87B8-9742-87B0-E66668CACF10}">
  <sheetPr codeName="Sheet15"/>
  <dimension ref="A1:K138"/>
  <sheetViews>
    <sheetView topLeftCell="A10" zoomScale="90" zoomScaleNormal="90" workbookViewId="0">
      <selection activeCell="H27" sqref="H27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Budget11[[#This Row],[Slice]] * SUMIFS(Transactions11[Projected (EUR)], Transactions11[Type], "Income")</f>
        <v>0</v>
      </c>
      <c r="C4" s="3">
        <f xml:space="preserve"> Budget11[[#This Row],[Slice]] * SUMIFS(Transactions11[Actual (EUR)], Transactions11[Type], "Income")</f>
        <v>0</v>
      </c>
      <c r="D4" s="3">
        <f>Budget11[[#This Row],[Actual]]-Budget11[[#This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Budget11[[#This Row],[Slice]] * SUMIFS(Transactions11[Projected (EUR)], Transactions11[Type], "Income")</f>
        <v>0</v>
      </c>
      <c r="C5" s="3">
        <f xml:space="preserve"> Budget11[[#This Row],[Slice]] * SUMIFS(Transactions11[Actual (EUR)], Transactions11[Type], "Income")</f>
        <v>0</v>
      </c>
      <c r="D5" s="3">
        <f>Budget11[[#This Row],[Actual]]-Budget11[[#This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Budget11[[#This Row],[Slice]] * SUMIFS(Transactions11[Projected (EUR)], Transactions11[Type], "Income")</f>
        <v>0</v>
      </c>
      <c r="C6" s="3">
        <f xml:space="preserve"> Budget11[[#This Row],[Slice]] * SUMIFS(Transactions11[Actual (EUR)], Transactions11[Type], "Income")</f>
        <v>0</v>
      </c>
      <c r="D6" s="3">
        <f>Budget11[[#This Row],[Actual]]-Budget11[[#This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SUBTOTAL(109,Budget11[Projected])</f>
        <v>0</v>
      </c>
      <c r="C7" s="5">
        <f>SUBTOTAL(109,Budget11[Actual])</f>
        <v>0</v>
      </c>
      <c r="D7" s="5">
        <f>SUBTOTAL(109,Budget11[Difference])</f>
        <v>0</v>
      </c>
      <c r="E7" t="s">
        <v>13</v>
      </c>
      <c r="F7" s="4">
        <f>SUBTOTAL(109,Budget11[Slice])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SUMIFS(Budget11[Projected], Budget11[Category], BalanceBudget11[[#This Row],[Category]]) -
SUMIFS(Transactions11[Projected (EUR)], Transactions11[Type], "&lt;&gt;Income", Transactions11[Category], BalanceBudget11[[#This Row],[Category]])</f>
        <v>0</v>
      </c>
      <c r="C13" s="5">
        <f xml:space="preserve">
SUMIFS(Budget11[Actual], Budget11[Category], BalanceBudget11[[#This Row],[Category]]) -
SUMIFS(Transactions11[Actual (EUR)], Transactions11[Type], "&lt;&gt;Income", Transactions11[Category], BalanceBudget11[[#This Row],[Category]])</f>
        <v>0</v>
      </c>
      <c r="D13" s="5">
        <f>BalanceBudget11[[#This Row],[Actual]] - BalanceBudget11[[#This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SUMIFS(Budget11[Projected], Budget11[Category], BalanceBudget11[[#This Row],[Category]]) -
SUMIFS(Transactions11[Projected (EUR)], Transactions11[Type], "&lt;&gt;Income", Transactions11[Category], BalanceBudget11[[#This Row],[Category]])</f>
        <v>0</v>
      </c>
      <c r="C14" s="5">
        <f xml:space="preserve">
SUMIFS(Budget11[Actual], Budget11[Category], BalanceBudget11[[#This Row],[Category]]) -
SUMIFS(Transactions11[Actual (EUR)], Transactions11[Type], "&lt;&gt;Income", Transactions11[Category], BalanceBudget11[[#This Row],[Category]])</f>
        <v>0</v>
      </c>
      <c r="D14" s="5">
        <f>BalanceBudget11[[#This Row],[Actual]] - BalanceBudget11[[#This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SUMIFS(Budget11[Projected], Budget11[Category], BalanceBudget11[[#This Row],[Category]]) -
SUMIFS(Transactions11[Projected (EUR)], Transactions11[Type], "&lt;&gt;Income", Transactions11[Category], BalanceBudget11[[#This Row],[Category]])</f>
        <v>0</v>
      </c>
      <c r="C15" s="5">
        <f xml:space="preserve">
SUMIFS(Budget11[Actual], Budget11[Category], BalanceBudget11[[#This Row],[Category]]) -
SUMIFS(Transactions11[Actual (EUR)], Transactions11[Type], "&lt;&gt;Income", Transactions11[Category], BalanceBudget11[[#This Row],[Category]])</f>
        <v>0</v>
      </c>
      <c r="D15" s="5">
        <f>BalanceBudget11[[#This Row],[Actual]] - BalanceBudget11[[#This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SUBTOTAL(109,BalanceBudget11[Projected])</f>
        <v>0</v>
      </c>
      <c r="C16" s="5">
        <f>SUBTOTAL(109,BalanceBudget11[Actual])</f>
        <v>0</v>
      </c>
      <c r="D16" s="5">
        <f>SUBTOTAL(109,BalanceBudget11[Difference])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SUMIFS(Transactions11[Projected], Transactions11[Currency], BalanceCurrency11[[#This Row],[Currency]], Transactions11[Type], "Income") -
SUMIFS(Transactions11[Projected], Transactions11[Currency], BalanceCurrency11[[#This Row],[Currency]], Transactions11[Type], "&lt;&gt;Income")</f>
        <v>0</v>
      </c>
      <c r="C22" s="5">
        <f xml:space="preserve">
SUMIFS(Transactions11[Actual], Transactions11[Currency], BalanceCurrency11[[#This Row],[Currency]], Transactions11[Type], "Income") -
SUMIFS(Transactions11[Actual], Transactions11[Currency], BalanceCurrency11[[#This Row],[Currency]], Transactions11[Type], "&lt;&gt;Income")</f>
        <v>0</v>
      </c>
      <c r="D22" s="5">
        <f>BalanceCurrency11[[#This Row],[Actual]] - BalanceCurrency11[[#This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SUMIFS(Transactions11[Projected], Transactions11[Currency], BalanceCurrency11[[#This Row],[Currency]], Transactions11[Type], "Income") -
SUMIFS(Transactions11[Projected], Transactions11[Currency], BalanceCurrency11[[#This Row],[Currency]], Transactions11[Type], "&lt;&gt;Income")</f>
        <v>0</v>
      </c>
      <c r="C23" s="5">
        <f xml:space="preserve">
SUMIFS(Transactions11[Actual], Transactions11[Currency], BalanceCurrency11[[#This Row],[Currency]], Transactions11[Type], "Income") -
SUMIFS(Transactions11[Actual], Transactions11[Currency], BalanceCurrency11[[#This Row],[Currency]], Transactions11[Type], "&lt;&gt;Income")</f>
        <v>0</v>
      </c>
      <c r="D23" s="5">
        <f>BalanceCurrency11[[#This Row],[Actual]] - BalanceCurrency11[[#This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SUMIFS(Transactions11[Projected], Transactions11[Currency], BalanceCurrency11[[#This Row],[Currency]], Transactions11[Type], "Income") -
SUMIFS(Transactions11[Projected], Transactions11[Currency], BalanceCurrency11[[#This Row],[Currency]], Transactions11[Type], "&lt;&gt;Income")</f>
        <v>0</v>
      </c>
      <c r="C24" s="5">
        <f xml:space="preserve">
SUMIFS(Transactions11[Actual], Transactions11[Currency], BalanceCurrency11[[#This Row],[Currency]], Transactions11[Type], "Income") -
SUMIFS(Transactions11[Actual], Transactions11[Currency], BalanceCurrency11[[#This Row],[Currency]], Transactions11[Type], "&lt;&gt;Income")</f>
        <v>0</v>
      </c>
      <c r="D24" s="5">
        <f>BalanceCurrency11[[#This Row],[Actual]] - BalanceCurrency11[[#This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SUMIFS(Transactions11[Projected], Transactions11[Currency], BalanceCurrency11[[#This Row],[Currency]], Transactions11[Type], "Income") -
SUMIFS(Transactions11[Projected], Transactions11[Currency], BalanceCurrency11[[#This Row],[Currency]], Transactions11[Type], "&lt;&gt;Income")</f>
        <v>0</v>
      </c>
      <c r="C25" s="5">
        <f xml:space="preserve">
SUMIFS(Transactions11[Actual], Transactions11[Currency], BalanceCurrency11[[#This Row],[Currency]], Transactions11[Type], "Income") -
SUMIFS(Transactions11[Actual], Transactions11[Currency], BalanceCurrency11[[#This Row],[Currency]], Transactions11[Type], "&lt;&gt;Income")</f>
        <v>0</v>
      </c>
      <c r="D25" s="5">
        <f>BalanceCurrency11[[#This Row],[Actual]] - BalanceCurrency11[[#This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SUMIFS(Transactions11[Projected], Transactions11[Currency], BalanceCurrency11[[#This Row],[Currency]], Transactions11[Type], "Income") -
SUMIFS(Transactions11[Projected], Transactions11[Currency], BalanceCurrency11[[#This Row],[Currency]], Transactions11[Type], "&lt;&gt;Income")</f>
        <v>0</v>
      </c>
      <c r="C26" s="5">
        <f xml:space="preserve">
SUMIFS(Transactions11[Actual], Transactions11[Currency], BalanceCurrency11[[#This Row],[Currency]], Transactions11[Type], "Income") -
SUMIFS(Transactions11[Actual], Transactions11[Currency], BalanceCurrency11[[#This Row],[Currency]], Transactions11[Type], "&lt;&gt;Income")</f>
        <v>0</v>
      </c>
      <c r="D26" s="5">
        <f>BalanceCurrency11[[#This Row],[Actual]] - BalanceCurrency11[[#This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SUMIFS(Transactions11[Projected], Transactions11[Currency], BalanceCurrency11[[#This Row],[Currency]], Transactions11[Type], "Income") -
SUMIFS(Transactions11[Projected], Transactions11[Currency], BalanceCurrency11[[#This Row],[Currency]], Transactions11[Type], "&lt;&gt;Income")</f>
        <v>0</v>
      </c>
      <c r="C27" s="5">
        <f xml:space="preserve">
SUMIFS(Transactions11[Actual], Transactions11[Currency], BalanceCurrency11[[#This Row],[Currency]], Transactions11[Type], "Income") -
SUMIFS(Transactions11[Actual], Transactions11[Currency], BalanceCurrency11[[#This Row],[Currency]], Transactions11[Type], "&lt;&gt;Income")</f>
        <v>0</v>
      </c>
      <c r="D27" s="5">
        <f>BalanceCurrency11[[#This Row],[Actual]] - BalanceCurrency11[[#This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SUMIFS(Transactions11[Projected (EUR)], Transactions11[Type], TransactionsSummary11[[#This Row],[Type]], Transactions11[Category], TransactionsSummary11[[#This Row],[Category]])</f>
        <v>0</v>
      </c>
      <c r="C33" s="3">
        <f xml:space="preserve"> SUMIFS(Transactions11[Actual (EUR)], Transactions11[Type], TransactionsSummary11[[#This Row],[Type]], Transactions11[Category], TransactionsSummary11[[#This Row],[Category]])</f>
        <v>0</v>
      </c>
      <c r="D33" s="3">
        <f>TransactionsSummary11[[#This Row],[Actual]]-TransactionsSummary11[[#This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SUMIFS(Transactions11[Projected (EUR)], Transactions11[Type], TransactionsSummary11[[#This Row],[Type]], Transactions11[Category], TransactionsSummary11[[#This Row],[Category]])</f>
        <v>0</v>
      </c>
      <c r="C34" s="3">
        <f xml:space="preserve"> SUMIFS(Transactions11[Actual (EUR)], Transactions11[Type], TransactionsSummary11[[#This Row],[Type]], Transactions11[Category], TransactionsSummary11[[#This Row],[Category]])</f>
        <v>0</v>
      </c>
      <c r="D34" s="3">
        <f>TransactionsSummary11[[#This Row],[Actual]]-TransactionsSummary11[[#This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SUMIFS(Transactions11[Projected (EUR)], Transactions11[Type], TransactionsSummary11[[#This Row],[Type]], Transactions11[Category], TransactionsSummary11[[#This Row],[Category]])</f>
        <v>0</v>
      </c>
      <c r="C35" s="3">
        <f xml:space="preserve"> SUMIFS(Transactions11[Actual (EUR)], Transactions11[Type], TransactionsSummary11[[#This Row],[Type]], Transactions11[Category], TransactionsSummary11[[#This Row],[Category]])</f>
        <v>0</v>
      </c>
      <c r="D35" s="3">
        <f>TransactionsSummary11[[#This Row],[Actual]]-TransactionsSummary11[[#This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SUMIFS(Transactions11[Projected (EUR)], Transactions11[Type], TransactionsSummary11[[#This Row],[Type]], Transactions11[Category], TransactionsSummary11[[#This Row],[Category]])</f>
        <v>0</v>
      </c>
      <c r="C36" s="3">
        <f xml:space="preserve"> SUMIFS(Transactions11[Actual (EUR)], Transactions11[Type], TransactionsSummary11[[#This Row],[Type]], Transactions11[Category], TransactionsSummary11[[#This Row],[Category]])</f>
        <v>0</v>
      </c>
      <c r="D36" s="3">
        <f>TransactionsSummary11[[#This Row],[Actual]]-TransactionsSummary11[[#This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SUMIFS(Transactions11[Projected (EUR)], Transactions11[Type], TransactionsSummary11[[#This Row],[Type]], Transactions11[Category], TransactionsSummary11[[#This Row],[Category]])</f>
        <v>0</v>
      </c>
      <c r="C37" s="3">
        <f xml:space="preserve"> SUMIFS(Transactions11[Actual (EUR)], Transactions11[Type], TransactionsSummary11[[#This Row],[Type]], Transactions11[Category], TransactionsSummary11[[#This Row],[Category]])</f>
        <v>0</v>
      </c>
      <c r="D37" s="3">
        <f>TransactionsSummary11[[#This Row],[Actual]]-TransactionsSummary11[[#This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SUMIFS(Transactions11[Projected (EUR)], Transactions11[Type], TransactionsSummary11[[#This Row],[Type]], Transactions11[Category], TransactionsSummary11[[#This Row],[Category]])</f>
        <v>0</v>
      </c>
      <c r="C38" s="3">
        <f xml:space="preserve"> SUMIFS(Transactions11[Actual (EUR)], Transactions11[Type], TransactionsSummary11[[#This Row],[Type]], Transactions11[Category], TransactionsSummary11[[#This Row],[Category]])</f>
        <v>0</v>
      </c>
      <c r="D38" s="3">
        <f>TransactionsSummary11[[#This Row],[Actual]]-TransactionsSummary11[[#This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SUMIFS(Transactions11[Projected (EUR)], Transactions11[Type], TransactionsSummary11[[#This Row],[Type]], Transactions11[Category], TransactionsSummary11[[#This Row],[Category]])</f>
        <v>0</v>
      </c>
      <c r="C39" s="3">
        <f xml:space="preserve"> SUMIFS(Transactions11[Actual (EUR)], Transactions11[Type], TransactionsSummary11[[#This Row],[Type]], Transactions11[Category], TransactionsSummary11[[#This Row],[Category]])</f>
        <v>0</v>
      </c>
      <c r="D39" s="3">
        <f>TransactionsSummary11[[#This Row],[Actual]]-TransactionsSummary11[[#This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10"/>
      <c r="D45" s="5">
        <f>Transactions11[[#This Row],[Actual]]-Transactions11[[#This Row],[Projected]]</f>
        <v>0</v>
      </c>
      <c r="I45" s="5" cm="1">
        <f t="array" ref="I45">CONVERT2EUR(Transactions11[[#This Row],[Currency]], Transactions11[[#This Row],[Projected]])</f>
        <v>0</v>
      </c>
      <c r="J45" s="5" cm="1">
        <f t="array" ref="J45">CONVERT2EUR(Transactions11[[#This Row],[Currency]], Transactions11[[#This Row],[Actual]])</f>
        <v>0</v>
      </c>
      <c r="K45" s="5">
        <f>Transactions11[[#This Row],[Actual (EUR)]] - Transactions11[[#This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1:B1"/>
    <mergeCell ref="A10:B10"/>
    <mergeCell ref="A19:B19"/>
    <mergeCell ref="A30:B30"/>
    <mergeCell ref="A42:B42"/>
  </mergeCells>
  <conditionalFormatting sqref="B15:D15">
    <cfRule type="cellIs" dxfId="308" priority="6" operator="greaterThan">
      <formula>0</formula>
    </cfRule>
    <cfRule type="cellIs" dxfId="307" priority="12" operator="lessThanOrEqual">
      <formula>0</formula>
    </cfRule>
  </conditionalFormatting>
  <conditionalFormatting sqref="B16:C16">
    <cfRule type="cellIs" dxfId="306" priority="11" operator="notBetween">
      <formula>-0.01</formula>
      <formula>0.01</formula>
    </cfRule>
  </conditionalFormatting>
  <conditionalFormatting sqref="B22:C27">
    <cfRule type="cellIs" dxfId="305" priority="10" operator="notBetween">
      <formula>-0.01</formula>
      <formula>0.01</formula>
    </cfRule>
  </conditionalFormatting>
  <conditionalFormatting sqref="F7">
    <cfRule type="cellIs" dxfId="304" priority="9" operator="notEqual">
      <formula>1</formula>
    </cfRule>
  </conditionalFormatting>
  <conditionalFormatting sqref="F4:F6">
    <cfRule type="containsBlanks" dxfId="303" priority="8">
      <formula>LEN(TRIM(F4))=0</formula>
    </cfRule>
  </conditionalFormatting>
  <conditionalFormatting sqref="D34:D35">
    <cfRule type="cellIs" dxfId="302" priority="2" operator="greaterThan">
      <formula>0</formula>
    </cfRule>
    <cfRule type="cellIs" dxfId="301" priority="3" operator="lessThanOrEqual">
      <formula>0</formula>
    </cfRule>
  </conditionalFormatting>
  <conditionalFormatting sqref="D33">
    <cfRule type="cellIs" dxfId="300" priority="4" operator="lessThan">
      <formula>0</formula>
    </cfRule>
    <cfRule type="cellIs" dxfId="299" priority="5" operator="greaterThanOrEqual">
      <formula>0</formula>
    </cfRule>
  </conditionalFormatting>
  <conditionalFormatting sqref="A45:C45 E45:H45">
    <cfRule type="containsBlanks" dxfId="298" priority="1">
      <formula>LEN(TRIM(A45))=0</formula>
    </cfRule>
  </conditionalFormatting>
  <conditionalFormatting sqref="B13:D14">
    <cfRule type="cellIs" dxfId="297" priority="7" operator="lessThan">
      <formula>0</formula>
    </cfRule>
    <cfRule type="cellIs" dxfId="296" priority="13" operator="greaterThanOrEqual">
      <formula>0</formula>
    </cfRule>
  </conditionalFormatting>
  <dataValidations count="6">
    <dataValidation type="list" allowBlank="1" showInputMessage="1" showErrorMessage="1" sqref="A45" xr:uid="{7E9097DA-D729-6643-8170-09F1F174E1D4}">
      <formula1>$A$22:$A$27</formula1>
    </dataValidation>
    <dataValidation type="list" allowBlank="1" showInputMessage="1" showErrorMessage="1" sqref="F40:F41" xr:uid="{B7621BA1-B20E-6F46-96D0-72ED9238B6EE}">
      <formula1>"Income, Need, Want, Investment, Any"</formula1>
    </dataValidation>
    <dataValidation type="list" allowBlank="1" showInputMessage="1" showErrorMessage="1" sqref="A40:A41" xr:uid="{440C87B1-CB92-DD4B-975B-5C0DFF437E8C}">
      <formula1>"EUR"</formula1>
    </dataValidation>
    <dataValidation type="list" allowBlank="1" showInputMessage="1" showErrorMessage="1" sqref="E13:E15 E4:E6" xr:uid="{EEF50EAA-AC6E-ED41-8C33-838CB3759FD9}">
      <formula1>"Need, Want, Investment"</formula1>
    </dataValidation>
    <dataValidation type="list" allowBlank="1" showInputMessage="1" showErrorMessage="1" sqref="F45" xr:uid="{338D92C5-5C41-1643-BEA3-6F600414A97A}">
      <formula1>"Need, Want, Investment, Income"</formula1>
    </dataValidation>
    <dataValidation type="list" allowBlank="1" showInputMessage="1" showErrorMessage="1" sqref="E45 E40:E41" xr:uid="{1DE8A6A3-C2CB-394B-9B93-92E146E747ED}">
      <formula1>"Income, Expense, Saving"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K138"/>
  <sheetViews>
    <sheetView topLeftCell="A12" zoomScale="90" zoomScaleNormal="90" workbookViewId="0">
      <selection activeCell="I45" activeCellId="5" sqref="B4:D7 B13:D16 B22:D27 B33:D39 B45:D45 I45:K45"/>
    </sheetView>
  </sheetViews>
  <sheetFormatPr defaultColWidth="8.85546875" defaultRowHeight="15" x14ac:dyDescent="0.25"/>
  <cols>
    <col min="1" max="6" width="20.7109375" customWidth="1"/>
    <col min="7" max="7" width="30.7109375" customWidth="1"/>
    <col min="8" max="8" width="50.7109375" customWidth="1"/>
    <col min="9" max="11" width="2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9" t="s">
        <v>8</v>
      </c>
      <c r="B1" s="9"/>
    </row>
    <row r="2" spans="1:8" ht="20.100000000000001" customHeight="1" thickTop="1" x14ac:dyDescent="0.25"/>
    <row r="3" spans="1:8" ht="20.100000000000001" customHeight="1" x14ac:dyDescent="0.25">
      <c r="A3" s="1" t="s">
        <v>3</v>
      </c>
      <c r="B3" s="1" t="s">
        <v>4</v>
      </c>
      <c r="C3" s="1" t="s">
        <v>5</v>
      </c>
      <c r="D3" s="2" t="s">
        <v>6</v>
      </c>
      <c r="E3" t="s">
        <v>1</v>
      </c>
      <c r="F3" t="s">
        <v>9</v>
      </c>
    </row>
    <row r="4" spans="1:8" ht="20.100000000000001" customHeight="1" x14ac:dyDescent="0.25">
      <c r="A4" t="s">
        <v>11</v>
      </c>
      <c r="B4" s="3">
        <f xml:space="preserve"> Budget12[[#This Row],[Slice]] * SUMIFS(Transactions12[Projected (EUR)], Transactions12[Type], "Income")</f>
        <v>0</v>
      </c>
      <c r="C4" s="3">
        <f xml:space="preserve"> Budget12[[#This Row],[Slice]] * SUMIFS(Transactions12[Actual (EUR)], Transactions12[Type], "Income")</f>
        <v>0</v>
      </c>
      <c r="D4" s="3">
        <f>Budget12[[#This Row],[Actual]]-Budget12[[#This Row],[Projected]]</f>
        <v>0</v>
      </c>
      <c r="E4" t="s">
        <v>26</v>
      </c>
      <c r="F4" s="4">
        <v>0.5</v>
      </c>
    </row>
    <row r="5" spans="1:8" ht="20.100000000000001" customHeight="1" x14ac:dyDescent="0.25">
      <c r="A5" t="s">
        <v>11</v>
      </c>
      <c r="B5" s="3">
        <f xml:space="preserve"> Budget12[[#This Row],[Slice]] * SUMIFS(Transactions12[Projected (EUR)], Transactions12[Type], "Income")</f>
        <v>0</v>
      </c>
      <c r="C5" s="3">
        <f xml:space="preserve"> Budget12[[#This Row],[Slice]] * SUMIFS(Transactions12[Actual (EUR)], Transactions12[Type], "Income")</f>
        <v>0</v>
      </c>
      <c r="D5" s="3">
        <f>Budget12[[#This Row],[Actual]]-Budget12[[#This Row],[Projected]]</f>
        <v>0</v>
      </c>
      <c r="E5" t="s">
        <v>28</v>
      </c>
      <c r="F5" s="4">
        <v>0.3</v>
      </c>
    </row>
    <row r="6" spans="1:8" ht="20.100000000000001" customHeight="1" x14ac:dyDescent="0.25">
      <c r="A6" t="s">
        <v>11</v>
      </c>
      <c r="B6" s="3">
        <f xml:space="preserve"> Budget12[[#This Row],[Slice]] * SUMIFS(Transactions12[Projected (EUR)], Transactions12[Type], "Income")</f>
        <v>0</v>
      </c>
      <c r="C6" s="3">
        <f xml:space="preserve"> Budget12[[#This Row],[Slice]] * SUMIFS(Transactions12[Actual (EUR)], Transactions12[Type], "Income")</f>
        <v>0</v>
      </c>
      <c r="D6" s="3">
        <f>Budget12[[#This Row],[Actual]]-Budget12[[#This Row],[Projected]]</f>
        <v>0</v>
      </c>
      <c r="E6" t="s">
        <v>24</v>
      </c>
      <c r="F6" s="4">
        <v>0.2</v>
      </c>
    </row>
    <row r="7" spans="1:8" ht="20.100000000000001" customHeight="1" x14ac:dyDescent="0.25">
      <c r="A7" t="s">
        <v>11</v>
      </c>
      <c r="B7" s="5">
        <f>SUBTOTAL(109,Budget12[Projected])</f>
        <v>0</v>
      </c>
      <c r="C7" s="5">
        <f>SUBTOTAL(109,Budget12[Actual])</f>
        <v>0</v>
      </c>
      <c r="D7" s="5">
        <f>SUBTOTAL(109,Budget12[Difference])</f>
        <v>0</v>
      </c>
      <c r="E7" t="s">
        <v>13</v>
      </c>
      <c r="F7" s="4">
        <f>SUBTOTAL(109,Budget12[Slice])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9" t="s">
        <v>10</v>
      </c>
      <c r="B10" s="9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3</v>
      </c>
      <c r="B12" t="s">
        <v>4</v>
      </c>
      <c r="C12" t="s">
        <v>5</v>
      </c>
      <c r="D12" t="s">
        <v>6</v>
      </c>
      <c r="E12" t="s">
        <v>1</v>
      </c>
    </row>
    <row r="13" spans="1:8" ht="20.100000000000001" customHeight="1" x14ac:dyDescent="0.25">
      <c r="A13" t="s">
        <v>11</v>
      </c>
      <c r="B13" s="5">
        <f xml:space="preserve">
SUMIFS(Budget12[Projected], Budget12[Category], BalanceBudget12[[#This Row],[Category]]) -
SUMIFS(Transactions12[Projected (EUR)], Transactions12[Type], "&lt;&gt;Income", Transactions12[Category], BalanceBudget12[[#This Row],[Category]])</f>
        <v>0</v>
      </c>
      <c r="C13" s="5">
        <f xml:space="preserve">
SUMIFS(Budget12[Actual], Budget12[Category], BalanceBudget12[[#This Row],[Category]]) -
SUMIFS(Transactions12[Actual (EUR)], Transactions12[Type], "&lt;&gt;Income", Transactions12[Category], BalanceBudget12[[#This Row],[Category]])</f>
        <v>0</v>
      </c>
      <c r="D13" s="5">
        <f>BalanceBudget12[[#This Row],[Actual]] - BalanceBudget12[[#This Row],[Projected]]</f>
        <v>0</v>
      </c>
      <c r="E13" t="s">
        <v>26</v>
      </c>
      <c r="G13" s="8"/>
    </row>
    <row r="14" spans="1:8" ht="20.100000000000001" customHeight="1" x14ac:dyDescent="0.25">
      <c r="A14" t="s">
        <v>11</v>
      </c>
      <c r="B14" s="5">
        <f xml:space="preserve">
SUMIFS(Budget12[Projected], Budget12[Category], BalanceBudget12[[#This Row],[Category]]) -
SUMIFS(Transactions12[Projected (EUR)], Transactions12[Type], "&lt;&gt;Income", Transactions12[Category], BalanceBudget12[[#This Row],[Category]])</f>
        <v>0</v>
      </c>
      <c r="C14" s="5">
        <f xml:space="preserve">
SUMIFS(Budget12[Actual], Budget12[Category], BalanceBudget12[[#This Row],[Category]]) -
SUMIFS(Transactions12[Actual (EUR)], Transactions12[Type], "&lt;&gt;Income", Transactions12[Category], BalanceBudget12[[#This Row],[Category]])</f>
        <v>0</v>
      </c>
      <c r="D14" s="5">
        <f>BalanceBudget12[[#This Row],[Actual]] - BalanceBudget12[[#This Row],[Projected]]</f>
        <v>0</v>
      </c>
      <c r="E14" t="s">
        <v>28</v>
      </c>
    </row>
    <row r="15" spans="1:8" ht="20.100000000000001" customHeight="1" x14ac:dyDescent="0.25">
      <c r="A15" t="s">
        <v>11</v>
      </c>
      <c r="B15" s="5">
        <f xml:space="preserve">
SUMIFS(Budget12[Projected], Budget12[Category], BalanceBudget12[[#This Row],[Category]]) -
SUMIFS(Transactions12[Projected (EUR)], Transactions12[Type], "&lt;&gt;Income", Transactions12[Category], BalanceBudget12[[#This Row],[Category]])</f>
        <v>0</v>
      </c>
      <c r="C15" s="5">
        <f xml:space="preserve">
SUMIFS(Budget12[Actual], Budget12[Category], BalanceBudget12[[#This Row],[Category]]) -
SUMIFS(Transactions12[Actual (EUR)], Transactions12[Type], "&lt;&gt;Income", Transactions12[Category], BalanceBudget12[[#This Row],[Category]])</f>
        <v>0</v>
      </c>
      <c r="D15" s="5">
        <f>BalanceBudget12[[#This Row],[Actual]] - BalanceBudget12[[#This Row],[Projected]]</f>
        <v>0</v>
      </c>
      <c r="E15" t="s">
        <v>24</v>
      </c>
    </row>
    <row r="16" spans="1:8" ht="20.100000000000001" customHeight="1" x14ac:dyDescent="0.25">
      <c r="A16" t="s">
        <v>11</v>
      </c>
      <c r="B16" s="5">
        <f>SUBTOTAL(109,BalanceBudget12[Projected])</f>
        <v>0</v>
      </c>
      <c r="C16" s="5">
        <f>SUBTOTAL(109,BalanceBudget12[Actual])</f>
        <v>0</v>
      </c>
      <c r="D16" s="5">
        <f>SUBTOTAL(109,BalanceBudget12[Difference])</f>
        <v>0</v>
      </c>
      <c r="E16" t="s">
        <v>13</v>
      </c>
    </row>
    <row r="17" spans="1:6" ht="20.100000000000001" customHeight="1" x14ac:dyDescent="0.25"/>
    <row r="18" spans="1:6" ht="20.100000000000001" customHeight="1" x14ac:dyDescent="0.25"/>
    <row r="19" spans="1:6" ht="20.100000000000001" customHeight="1" thickBot="1" x14ac:dyDescent="0.35">
      <c r="A19" s="9" t="s">
        <v>12</v>
      </c>
      <c r="B19" s="9"/>
    </row>
    <row r="20" spans="1:6" ht="20.100000000000001" customHeight="1" thickTop="1" x14ac:dyDescent="0.25"/>
    <row r="21" spans="1:6" ht="20.100000000000001" customHeight="1" x14ac:dyDescent="0.25">
      <c r="A21" t="s">
        <v>3</v>
      </c>
      <c r="B21" t="s">
        <v>4</v>
      </c>
      <c r="C21" t="s">
        <v>5</v>
      </c>
      <c r="D21" t="s">
        <v>6</v>
      </c>
    </row>
    <row r="22" spans="1:6" ht="20.100000000000001" customHeight="1" x14ac:dyDescent="0.25">
      <c r="A22" t="s">
        <v>11</v>
      </c>
      <c r="B22" s="5">
        <f xml:space="preserve">
SUMIFS(Transactions12[Projected], Transactions12[Currency], BalanceCurrency12[[#This Row],[Currency]], Transactions12[Type], "Income") -
SUMIFS(Transactions12[Projected], Transactions12[Currency], BalanceCurrency12[[#This Row],[Currency]], Transactions12[Type], "&lt;&gt;Income")</f>
        <v>0</v>
      </c>
      <c r="C22" s="5">
        <f xml:space="preserve">
SUMIFS(Transactions12[Actual], Transactions12[Currency], BalanceCurrency12[[#This Row],[Currency]], Transactions12[Type], "Income") -
SUMIFS(Transactions12[Actual], Transactions12[Currency], BalanceCurrency12[[#This Row],[Currency]], Transactions12[Type], "&lt;&gt;Income")</f>
        <v>0</v>
      </c>
      <c r="D22" s="5">
        <f>BalanceCurrency12[[#This Row],[Actual]] - BalanceCurrency12[[#This Row],[Projected]]</f>
        <v>0</v>
      </c>
    </row>
    <row r="23" spans="1:6" ht="20.100000000000001" customHeight="1" x14ac:dyDescent="0.25">
      <c r="A23" t="s">
        <v>14</v>
      </c>
      <c r="B23" s="5">
        <f xml:space="preserve">
SUMIFS(Transactions12[Projected], Transactions12[Currency], BalanceCurrency12[[#This Row],[Currency]], Transactions12[Type], "Income") -
SUMIFS(Transactions12[Projected], Transactions12[Currency], BalanceCurrency12[[#This Row],[Currency]], Transactions12[Type], "&lt;&gt;Income")</f>
        <v>0</v>
      </c>
      <c r="C23" s="5">
        <f xml:space="preserve">
SUMIFS(Transactions12[Actual], Transactions12[Currency], BalanceCurrency12[[#This Row],[Currency]], Transactions12[Type], "Income") -
SUMIFS(Transactions12[Actual], Transactions12[Currency], BalanceCurrency12[[#This Row],[Currency]], Transactions12[Type], "&lt;&gt;Income")</f>
        <v>0</v>
      </c>
      <c r="D23" s="5">
        <f>BalanceCurrency12[[#This Row],[Actual]] - BalanceCurrency12[[#This Row],[Projected]]</f>
        <v>0</v>
      </c>
    </row>
    <row r="24" spans="1:6" ht="20.100000000000001" customHeight="1" x14ac:dyDescent="0.25">
      <c r="A24" t="s">
        <v>15</v>
      </c>
      <c r="B24" s="5">
        <f xml:space="preserve">
SUMIFS(Transactions12[Projected], Transactions12[Currency], BalanceCurrency12[[#This Row],[Currency]], Transactions12[Type], "Income") -
SUMIFS(Transactions12[Projected], Transactions12[Currency], BalanceCurrency12[[#This Row],[Currency]], Transactions12[Type], "&lt;&gt;Income")</f>
        <v>0</v>
      </c>
      <c r="C24" s="5">
        <f xml:space="preserve">
SUMIFS(Transactions12[Actual], Transactions12[Currency], BalanceCurrency12[[#This Row],[Currency]], Transactions12[Type], "Income") -
SUMIFS(Transactions12[Actual], Transactions12[Currency], BalanceCurrency12[[#This Row],[Currency]], Transactions12[Type], "&lt;&gt;Income")</f>
        <v>0</v>
      </c>
      <c r="D24" s="5">
        <f>BalanceCurrency12[[#This Row],[Actual]] - BalanceCurrency12[[#This Row],[Projected]]</f>
        <v>0</v>
      </c>
    </row>
    <row r="25" spans="1:6" ht="20.100000000000001" customHeight="1" x14ac:dyDescent="0.25">
      <c r="A25" t="s">
        <v>16</v>
      </c>
      <c r="B25" s="5">
        <f xml:space="preserve">
SUMIFS(Transactions12[Projected], Transactions12[Currency], BalanceCurrency12[[#This Row],[Currency]], Transactions12[Type], "Income") -
SUMIFS(Transactions12[Projected], Transactions12[Currency], BalanceCurrency12[[#This Row],[Currency]], Transactions12[Type], "&lt;&gt;Income")</f>
        <v>0</v>
      </c>
      <c r="C25" s="5">
        <f xml:space="preserve">
SUMIFS(Transactions12[Actual], Transactions12[Currency], BalanceCurrency12[[#This Row],[Currency]], Transactions12[Type], "Income") -
SUMIFS(Transactions12[Actual], Transactions12[Currency], BalanceCurrency12[[#This Row],[Currency]], Transactions12[Type], "&lt;&gt;Income")</f>
        <v>0</v>
      </c>
      <c r="D25" s="5">
        <f>BalanceCurrency12[[#This Row],[Actual]] - BalanceCurrency12[[#This Row],[Projected]]</f>
        <v>0</v>
      </c>
    </row>
    <row r="26" spans="1:6" ht="20.100000000000001" customHeight="1" x14ac:dyDescent="0.25">
      <c r="A26" t="s">
        <v>17</v>
      </c>
      <c r="B26" s="5">
        <f xml:space="preserve">
SUMIFS(Transactions12[Projected], Transactions12[Currency], BalanceCurrency12[[#This Row],[Currency]], Transactions12[Type], "Income") -
SUMIFS(Transactions12[Projected], Transactions12[Currency], BalanceCurrency12[[#This Row],[Currency]], Transactions12[Type], "&lt;&gt;Income")</f>
        <v>0</v>
      </c>
      <c r="C26" s="5">
        <f xml:space="preserve">
SUMIFS(Transactions12[Actual], Transactions12[Currency], BalanceCurrency12[[#This Row],[Currency]], Transactions12[Type], "Income") -
SUMIFS(Transactions12[Actual], Transactions12[Currency], BalanceCurrency12[[#This Row],[Currency]], Transactions12[Type], "&lt;&gt;Income")</f>
        <v>0</v>
      </c>
      <c r="D26" s="5">
        <f>BalanceCurrency12[[#This Row],[Actual]] - BalanceCurrency12[[#This Row],[Projected]]</f>
        <v>0</v>
      </c>
    </row>
    <row r="27" spans="1:6" ht="20.100000000000001" customHeight="1" x14ac:dyDescent="0.25">
      <c r="A27" t="s">
        <v>18</v>
      </c>
      <c r="B27" s="5">
        <f xml:space="preserve">
SUMIFS(Transactions12[Projected], Transactions12[Currency], BalanceCurrency12[[#This Row],[Currency]], Transactions12[Type], "Income") -
SUMIFS(Transactions12[Projected], Transactions12[Currency], BalanceCurrency12[[#This Row],[Currency]], Transactions12[Type], "&lt;&gt;Income")</f>
        <v>0</v>
      </c>
      <c r="C27" s="5">
        <f xml:space="preserve">
SUMIFS(Transactions12[Actual], Transactions12[Currency], BalanceCurrency12[[#This Row],[Currency]], Transactions12[Type], "Income") -
SUMIFS(Transactions12[Actual], Transactions12[Currency], BalanceCurrency12[[#This Row],[Currency]], Transactions12[Type], "&lt;&gt;Income")</f>
        <v>0</v>
      </c>
      <c r="D27" s="5">
        <f>BalanceCurrency12[[#This Row],[Actual]] - BalanceCurrency12[[#This Row],[Projected]]</f>
        <v>0</v>
      </c>
    </row>
    <row r="28" spans="1:6" ht="20.100000000000001" customHeight="1" x14ac:dyDescent="0.25"/>
    <row r="29" spans="1:6" ht="20.100000000000001" customHeight="1" x14ac:dyDescent="0.25"/>
    <row r="30" spans="1:6" ht="20.100000000000001" customHeight="1" thickBot="1" x14ac:dyDescent="0.35">
      <c r="A30" s="9" t="s">
        <v>31</v>
      </c>
      <c r="B30" s="9"/>
    </row>
    <row r="31" spans="1:6" ht="20.100000000000001" customHeight="1" thickTop="1" x14ac:dyDescent="0.25"/>
    <row r="32" spans="1:6" ht="20.100000000000001" customHeight="1" x14ac:dyDescent="0.25">
      <c r="A32" s="1" t="s">
        <v>3</v>
      </c>
      <c r="B32" s="1" t="s">
        <v>4</v>
      </c>
      <c r="C32" s="1" t="s">
        <v>5</v>
      </c>
      <c r="D32" s="2" t="s">
        <v>6</v>
      </c>
      <c r="E32" t="s">
        <v>0</v>
      </c>
      <c r="F32" t="s">
        <v>1</v>
      </c>
    </row>
    <row r="33" spans="1:11" ht="20.100000000000001" customHeight="1" x14ac:dyDescent="0.25">
      <c r="A33" t="s">
        <v>11</v>
      </c>
      <c r="B33" s="3">
        <f xml:space="preserve"> SUMIFS(Transactions12[Projected (EUR)], Transactions12[Type], TransactionsSummary12[[#This Row],[Type]], Transactions12[Category], TransactionsSummary12[[#This Row],[Category]])</f>
        <v>0</v>
      </c>
      <c r="C33" s="3">
        <f xml:space="preserve"> SUMIFS(Transactions12[Actual (EUR)], Transactions12[Type], TransactionsSummary12[[#This Row],[Type]], Transactions12[Category], TransactionsSummary12[[#This Row],[Category]])</f>
        <v>0</v>
      </c>
      <c r="D33" s="3">
        <f>TransactionsSummary12[[#This Row],[Actual]]-TransactionsSummary12[[#This Row],[Projected]]</f>
        <v>0</v>
      </c>
      <c r="E33" t="s">
        <v>25</v>
      </c>
      <c r="F33" t="s">
        <v>25</v>
      </c>
    </row>
    <row r="34" spans="1:11" ht="20.100000000000001" customHeight="1" x14ac:dyDescent="0.25">
      <c r="A34" t="s">
        <v>11</v>
      </c>
      <c r="B34" s="3">
        <f xml:space="preserve"> SUMIFS(Transactions12[Projected (EUR)], Transactions12[Type], TransactionsSummary12[[#This Row],[Type]], Transactions12[Category], TransactionsSummary12[[#This Row],[Category]])</f>
        <v>0</v>
      </c>
      <c r="C34" s="3">
        <f xml:space="preserve"> SUMIFS(Transactions12[Actual (EUR)], Transactions12[Type], TransactionsSummary12[[#This Row],[Type]], Transactions12[Category], TransactionsSummary12[[#This Row],[Category]])</f>
        <v>0</v>
      </c>
      <c r="D34" s="3">
        <f>TransactionsSummary12[[#This Row],[Actual]]-TransactionsSummary12[[#This Row],[Projected]]</f>
        <v>0</v>
      </c>
      <c r="E34" s="7" t="s">
        <v>29</v>
      </c>
      <c r="F34" t="s">
        <v>26</v>
      </c>
    </row>
    <row r="35" spans="1:11" ht="20.100000000000001" customHeight="1" x14ac:dyDescent="0.25">
      <c r="A35" t="s">
        <v>11</v>
      </c>
      <c r="B35" s="3">
        <f xml:space="preserve"> SUMIFS(Transactions12[Projected (EUR)], Transactions12[Type], TransactionsSummary12[[#This Row],[Type]], Transactions12[Category], TransactionsSummary12[[#This Row],[Category]])</f>
        <v>0</v>
      </c>
      <c r="C35" s="3">
        <f xml:space="preserve"> SUMIFS(Transactions12[Actual (EUR)], Transactions12[Type], TransactionsSummary12[[#This Row],[Type]], Transactions12[Category], TransactionsSummary12[[#This Row],[Category]])</f>
        <v>0</v>
      </c>
      <c r="D35" s="3">
        <f>TransactionsSummary12[[#This Row],[Actual]]-TransactionsSummary12[[#This Row],[Projected]]</f>
        <v>0</v>
      </c>
      <c r="E35" s="7" t="s">
        <v>29</v>
      </c>
      <c r="F35" t="s">
        <v>28</v>
      </c>
    </row>
    <row r="36" spans="1:11" ht="20.100000000000001" customHeight="1" x14ac:dyDescent="0.25">
      <c r="A36" t="s">
        <v>11</v>
      </c>
      <c r="B36" s="3">
        <f xml:space="preserve"> SUMIFS(Transactions12[Projected (EUR)], Transactions12[Type], TransactionsSummary12[[#This Row],[Type]], Transactions12[Category], TransactionsSummary12[[#This Row],[Category]])</f>
        <v>0</v>
      </c>
      <c r="C36" s="3">
        <f xml:space="preserve"> SUMIFS(Transactions12[Actual (EUR)], Transactions12[Type], TransactionsSummary12[[#This Row],[Type]], Transactions12[Category], TransactionsSummary12[[#This Row],[Category]])</f>
        <v>0</v>
      </c>
      <c r="D36" s="3">
        <f>TransactionsSummary12[[#This Row],[Actual]]-TransactionsSummary12[[#This Row],[Projected]]</f>
        <v>0</v>
      </c>
      <c r="E36" s="7" t="s">
        <v>29</v>
      </c>
      <c r="F36" t="s">
        <v>24</v>
      </c>
    </row>
    <row r="37" spans="1:11" ht="20.100000000000001" customHeight="1" x14ac:dyDescent="0.25">
      <c r="A37" t="s">
        <v>11</v>
      </c>
      <c r="B37" s="3">
        <f xml:space="preserve"> SUMIFS(Transactions12[Projected (EUR)], Transactions12[Type], TransactionsSummary12[[#This Row],[Type]], Transactions12[Category], TransactionsSummary12[[#This Row],[Category]])</f>
        <v>0</v>
      </c>
      <c r="C37" s="3">
        <f xml:space="preserve"> SUMIFS(Transactions12[Actual (EUR)], Transactions12[Type], TransactionsSummary12[[#This Row],[Type]], Transactions12[Category], TransactionsSummary12[[#This Row],[Category]])</f>
        <v>0</v>
      </c>
      <c r="D37" s="3">
        <f>TransactionsSummary12[[#This Row],[Actual]]-TransactionsSummary12[[#This Row],[Projected]]</f>
        <v>0</v>
      </c>
      <c r="E37" s="7" t="s">
        <v>27</v>
      </c>
      <c r="F37" t="s">
        <v>26</v>
      </c>
    </row>
    <row r="38" spans="1:11" ht="20.100000000000001" customHeight="1" x14ac:dyDescent="0.25">
      <c r="A38" t="s">
        <v>11</v>
      </c>
      <c r="B38" s="3">
        <f xml:space="preserve"> SUMIFS(Transactions12[Projected (EUR)], Transactions12[Type], TransactionsSummary12[[#This Row],[Type]], Transactions12[Category], TransactionsSummary12[[#This Row],[Category]])</f>
        <v>0</v>
      </c>
      <c r="C38" s="3">
        <f xml:space="preserve"> SUMIFS(Transactions12[Actual (EUR)], Transactions12[Type], TransactionsSummary12[[#This Row],[Type]], Transactions12[Category], TransactionsSummary12[[#This Row],[Category]])</f>
        <v>0</v>
      </c>
      <c r="D38" s="3">
        <f>TransactionsSummary12[[#This Row],[Actual]]-TransactionsSummary12[[#This Row],[Projected]]</f>
        <v>0</v>
      </c>
      <c r="E38" s="7" t="s">
        <v>27</v>
      </c>
      <c r="F38" t="s">
        <v>28</v>
      </c>
    </row>
    <row r="39" spans="1:11" ht="20.100000000000001" customHeight="1" x14ac:dyDescent="0.25">
      <c r="A39" t="s">
        <v>11</v>
      </c>
      <c r="B39" s="3">
        <f xml:space="preserve"> SUMIFS(Transactions12[Projected (EUR)], Transactions12[Type], TransactionsSummary12[[#This Row],[Type]], Transactions12[Category], TransactionsSummary12[[#This Row],[Category]])</f>
        <v>0</v>
      </c>
      <c r="C39" s="3">
        <f xml:space="preserve"> SUMIFS(Transactions12[Actual (EUR)], Transactions12[Type], TransactionsSummary12[[#This Row],[Type]], Transactions12[Category], TransactionsSummary12[[#This Row],[Category]])</f>
        <v>0</v>
      </c>
      <c r="D39" s="3">
        <f>TransactionsSummary12[[#This Row],[Actual]]-TransactionsSummary12[[#This Row],[Projected]]</f>
        <v>0</v>
      </c>
      <c r="E39" s="7" t="s">
        <v>27</v>
      </c>
      <c r="F39" t="s">
        <v>24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9" t="s">
        <v>30</v>
      </c>
      <c r="B42" s="9"/>
    </row>
    <row r="43" spans="1:11" ht="20.100000000000001" customHeight="1" thickTop="1" x14ac:dyDescent="0.25"/>
    <row r="44" spans="1:11" ht="20.100000000000001" customHeight="1" x14ac:dyDescent="0.25">
      <c r="A44" t="s">
        <v>3</v>
      </c>
      <c r="B44" t="s">
        <v>4</v>
      </c>
      <c r="C44" t="s">
        <v>5</v>
      </c>
      <c r="D44" t="s">
        <v>6</v>
      </c>
      <c r="E44" t="s">
        <v>0</v>
      </c>
      <c r="F44" t="s">
        <v>1</v>
      </c>
      <c r="G44" t="s">
        <v>7</v>
      </c>
      <c r="H44" t="s">
        <v>2</v>
      </c>
      <c r="I44" t="s">
        <v>34</v>
      </c>
      <c r="J44" t="s">
        <v>32</v>
      </c>
      <c r="K44" t="s">
        <v>33</v>
      </c>
    </row>
    <row r="45" spans="1:11" ht="20.100000000000001" customHeight="1" x14ac:dyDescent="0.25">
      <c r="B45" s="5"/>
      <c r="C45" s="5"/>
      <c r="D45" s="5">
        <f>Transactions12[[#This Row],[Actual]]-Transactions12[[#This Row],[Projected]]</f>
        <v>0</v>
      </c>
      <c r="I45" s="5" cm="1">
        <f t="array" ref="I45">CONVERT2EUR(Transactions12[[#This Row],[Currency]], Transactions12[[#This Row],[Projected]])</f>
        <v>0</v>
      </c>
      <c r="J45" s="5" cm="1">
        <f t="array" ref="J45">CONVERT2EUR(Transactions12[[#This Row],[Currency]], Transactions12[[#This Row],[Actual]])</f>
        <v>0</v>
      </c>
      <c r="K45" s="5">
        <f>Transactions12[[#This Row],[Actual (EUR)]] - Transactions12[[#This Row],[Projected (EUR)]]</f>
        <v>0</v>
      </c>
    </row>
    <row r="46" spans="1:11" ht="20.100000000000001" customHeight="1" x14ac:dyDescent="0.25"/>
    <row r="47" spans="1:11" ht="20.100000000000001" customHeight="1" x14ac:dyDescent="0.25"/>
    <row r="48" spans="1:11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</sheetData>
  <mergeCells count="5">
    <mergeCell ref="A42:B42"/>
    <mergeCell ref="A19:B19"/>
    <mergeCell ref="A10:B10"/>
    <mergeCell ref="A1:B1"/>
    <mergeCell ref="A30:B30"/>
  </mergeCells>
  <phoneticPr fontId="4" type="noConversion"/>
  <conditionalFormatting sqref="B15:D15">
    <cfRule type="cellIs" dxfId="284" priority="6" operator="greaterThan">
      <formula>0</formula>
    </cfRule>
    <cfRule type="cellIs" dxfId="283" priority="12" operator="lessThanOrEqual">
      <formula>0</formula>
    </cfRule>
  </conditionalFormatting>
  <conditionalFormatting sqref="B16:C16">
    <cfRule type="cellIs" dxfId="282" priority="11" operator="notBetween">
      <formula>-0.01</formula>
      <formula>0.01</formula>
    </cfRule>
  </conditionalFormatting>
  <conditionalFormatting sqref="B22:C27">
    <cfRule type="cellIs" dxfId="281" priority="10" operator="notBetween">
      <formula>-0.01</formula>
      <formula>0.01</formula>
    </cfRule>
  </conditionalFormatting>
  <conditionalFormatting sqref="F7">
    <cfRule type="cellIs" dxfId="280" priority="9" operator="notEqual">
      <formula>1</formula>
    </cfRule>
  </conditionalFormatting>
  <conditionalFormatting sqref="F4:F6 A45:C45 E45:H45">
    <cfRule type="containsBlanks" dxfId="279" priority="8">
      <formula>LEN(TRIM(A4))=0</formula>
    </cfRule>
  </conditionalFormatting>
  <conditionalFormatting sqref="D34:D35">
    <cfRule type="cellIs" dxfId="278" priority="2" operator="greaterThan">
      <formula>0</formula>
    </cfRule>
    <cfRule type="cellIs" dxfId="277" priority="3" operator="lessThanOrEqual">
      <formula>0</formula>
    </cfRule>
  </conditionalFormatting>
  <conditionalFormatting sqref="D33">
    <cfRule type="cellIs" dxfId="276" priority="4" operator="lessThan">
      <formula>0</formula>
    </cfRule>
    <cfRule type="cellIs" dxfId="275" priority="5" operator="greaterThanOrEqual">
      <formula>0</formula>
    </cfRule>
  </conditionalFormatting>
  <conditionalFormatting sqref="B13:D14">
    <cfRule type="cellIs" dxfId="274" priority="7" operator="lessThan">
      <formula>0</formula>
    </cfRule>
    <cfRule type="cellIs" dxfId="273" priority="13" operator="greaterThanOrEqual">
      <formula>0</formula>
    </cfRule>
  </conditionalFormatting>
  <dataValidations count="6">
    <dataValidation type="list" allowBlank="1" showInputMessage="1" showErrorMessage="1" sqref="E40:E41 E45" xr:uid="{B288ECA7-A92D-4F44-976C-93AFC709A55C}">
      <formula1>"Income, Expense, Saving"</formula1>
    </dataValidation>
    <dataValidation type="list" allowBlank="1" showInputMessage="1" showErrorMessage="1" sqref="E13:E15 E4:E6" xr:uid="{B80E2365-FDD8-498B-8E96-6EA8CF331FC7}">
      <formula1>"Need, Want, Investment"</formula1>
    </dataValidation>
    <dataValidation type="list" allowBlank="1" showInputMessage="1" showErrorMessage="1" sqref="A40:A41" xr:uid="{3C1175A6-DD0D-4068-A600-2FB07C4A0E5B}">
      <formula1>"EUR"</formula1>
    </dataValidation>
    <dataValidation type="list" allowBlank="1" showInputMessage="1" showErrorMessage="1" sqref="F40:F41" xr:uid="{D5E3AAAF-6616-43C6-BA49-4BEA0C611D88}">
      <formula1>"Income, Need, Want, Investment, Any"</formula1>
    </dataValidation>
    <dataValidation type="list" allowBlank="1" showInputMessage="1" showErrorMessage="1" sqref="F45" xr:uid="{3E50FE54-8074-4BB7-BC36-9FFABB2997D3}">
      <formula1>"Need, Want, Investment, Income"</formula1>
    </dataValidation>
    <dataValidation type="list" allowBlank="1" showInputMessage="1" showErrorMessage="1" sqref="A45" xr:uid="{6C1B7618-E7C5-4832-B6CD-127A377DE7F4}">
      <formula1>$A$22:$A$27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5D9F3-A25F-492D-A03F-B41FA4521DA6}">
  <sheetPr codeName="Sheet14"/>
  <dimension ref="A1:I99"/>
  <sheetViews>
    <sheetView zoomScaleNormal="100" workbookViewId="0">
      <selection activeCell="D34" sqref="D34"/>
    </sheetView>
  </sheetViews>
  <sheetFormatPr defaultColWidth="8.85546875" defaultRowHeight="15" x14ac:dyDescent="0.25"/>
  <cols>
    <col min="1" max="1" width="50.7109375" customWidth="1"/>
    <col min="2" max="26" width="15.7109375" customWidth="1"/>
  </cols>
  <sheetData>
    <row r="1" spans="1:9" ht="20.100000000000001" customHeight="1" x14ac:dyDescent="0.25">
      <c r="A1" t="s">
        <v>23</v>
      </c>
      <c r="B1" t="s">
        <v>22</v>
      </c>
      <c r="C1" t="s">
        <v>3</v>
      </c>
      <c r="D1" t="s">
        <v>19</v>
      </c>
    </row>
    <row r="2" spans="1:9" ht="20.100000000000001" customHeight="1" x14ac:dyDescent="0.25">
      <c r="A2" t="e" vm="1">
        <v>#VALUE!</v>
      </c>
      <c r="B2" t="str" cm="1">
        <f t="array" ref="B2">_FV(ExchangeRate[[#This Row],[Conversion]],"From currency",TRUE)</f>
        <v>SEK</v>
      </c>
      <c r="C2" t="str" cm="1">
        <f t="array" ref="C2">_FV(ExchangeRate[[#This Row],[Conversion]],"Currency")</f>
        <v>EUR</v>
      </c>
      <c r="D2" s="6" cm="1">
        <f t="array" ref="D2">_FV(ExchangeRate[[#This Row],[Conversion]],"Price")</f>
        <v>8.8599999999999998E-2</v>
      </c>
    </row>
    <row r="3" spans="1:9" ht="20.100000000000001" customHeight="1" x14ac:dyDescent="0.25">
      <c r="A3" t="e" vm="2">
        <v>#VALUE!</v>
      </c>
      <c r="B3" t="str" cm="1">
        <f t="array" ref="B3">_FV(ExchangeRate[[#This Row],[Conversion]],"From currency",TRUE)</f>
        <v>BTC</v>
      </c>
      <c r="C3" t="str" cm="1">
        <f t="array" ref="C3">_FV(ExchangeRate[[#This Row],[Conversion]],"Currency")</f>
        <v>EUR</v>
      </c>
      <c r="D3" s="6" cm="1">
        <f t="array" ref="D3">_FV(ExchangeRate[[#This Row],[Conversion]],"Price")</f>
        <v>24964.983400000001</v>
      </c>
    </row>
    <row r="4" spans="1:9" ht="20.100000000000001" customHeight="1" x14ac:dyDescent="0.25">
      <c r="A4" t="e" vm="3">
        <v>#VALUE!</v>
      </c>
      <c r="B4" t="str" cm="1">
        <f t="array" ref="B4">_FV(ExchangeRate[[#This Row],[Conversion]],"From currency",TRUE)</f>
        <v>ETH</v>
      </c>
      <c r="C4" t="str" cm="1">
        <f t="array" ref="C4">_FV(ExchangeRate[[#This Row],[Conversion]],"Currency")</f>
        <v>EUR</v>
      </c>
      <c r="D4" s="5" cm="1">
        <f t="array" ref="D4">_FV(ExchangeRate[[#This Row],[Conversion]],"Price")</f>
        <v>1677.018</v>
      </c>
    </row>
    <row r="5" spans="1:9" ht="20.100000000000001" customHeight="1" x14ac:dyDescent="0.25"/>
    <row r="6" spans="1:9" ht="20.100000000000001" customHeight="1" x14ac:dyDescent="0.25"/>
    <row r="7" spans="1:9" ht="20.100000000000001" customHeight="1" x14ac:dyDescent="0.25">
      <c r="A7" t="s">
        <v>23</v>
      </c>
      <c r="B7" t="s">
        <v>22</v>
      </c>
      <c r="C7" t="s">
        <v>3</v>
      </c>
      <c r="D7" t="s">
        <v>19</v>
      </c>
    </row>
    <row r="8" spans="1:9" ht="20.100000000000001" customHeight="1" x14ac:dyDescent="0.25">
      <c r="A8" t="s">
        <v>21</v>
      </c>
      <c r="B8" t="s">
        <v>18</v>
      </c>
      <c r="C8" t="s">
        <v>11</v>
      </c>
      <c r="D8">
        <v>1.22</v>
      </c>
    </row>
    <row r="9" spans="1:9" ht="20.100000000000001" customHeight="1" x14ac:dyDescent="0.25"/>
    <row r="10" spans="1:9" ht="20.100000000000001" customHeight="1" x14ac:dyDescent="0.25">
      <c r="I10" s="6"/>
    </row>
    <row r="11" spans="1:9" ht="20.100000000000001" customHeight="1" x14ac:dyDescent="0.25">
      <c r="A11" t="s">
        <v>20</v>
      </c>
      <c r="B11" t="s">
        <v>3</v>
      </c>
      <c r="C11" t="s">
        <v>19</v>
      </c>
    </row>
    <row r="12" spans="1:9" ht="20.100000000000001" customHeight="1" x14ac:dyDescent="0.25">
      <c r="A12" t="e" vm="4">
        <v>#VALUE!</v>
      </c>
      <c r="B12" t="str" cm="1">
        <f t="array" ref="B12">_FV(Shares[[#This Row],[Share]],"Currency")</f>
        <v>SEK</v>
      </c>
      <c r="C12" s="6" cm="1">
        <f t="array" ref="C12">_FV(Shares[[#This Row],[Share]],"Price")</f>
        <v>53.99</v>
      </c>
    </row>
    <row r="13" spans="1:9" ht="20.100000000000001" customHeight="1" x14ac:dyDescent="0.25"/>
    <row r="14" spans="1:9" ht="20.100000000000001" customHeight="1" x14ac:dyDescent="0.25"/>
    <row r="15" spans="1:9" ht="20.100000000000001" customHeight="1" x14ac:dyDescent="0.25"/>
    <row r="16" spans="1:9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Exchange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Ruggeri</dc:creator>
  <cp:lastModifiedBy>Franco Ruggeri</cp:lastModifiedBy>
  <dcterms:created xsi:type="dcterms:W3CDTF">2015-06-05T18:17:20Z</dcterms:created>
  <dcterms:modified xsi:type="dcterms:W3CDTF">2023-05-14T16:03:48Z</dcterms:modified>
</cp:coreProperties>
</file>